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Opposing Team Pairings" sheetId="2" r:id="rId6"/>
    <sheet state="visible" name="Opposing Team Count" sheetId="3" r:id="rId7"/>
    <sheet state="visible" name="Common Team Pairings" sheetId="4" r:id="rId8"/>
    <sheet state="visible" name="Gw1" sheetId="5" r:id="rId9"/>
    <sheet state="visible" name="Gw2" sheetId="6" r:id="rId10"/>
    <sheet state="visible" name="Gw3" sheetId="7" r:id="rId11"/>
    <sheet state="visible" name="Gw4" sheetId="8" r:id="rId12"/>
    <sheet state="visible" name="Gw5" sheetId="9" r:id="rId13"/>
    <sheet state="visible" name="Gw6" sheetId="10" r:id="rId14"/>
    <sheet state="visible" name="Gw7" sheetId="11" r:id="rId15"/>
    <sheet state="visible" name="Gw8" sheetId="12" r:id="rId16"/>
    <sheet state="visible" name="Gw9" sheetId="13" r:id="rId17"/>
    <sheet state="visible" name="Gw10" sheetId="14" r:id="rId18"/>
    <sheet state="visible" name="Gw11" sheetId="15" r:id="rId19"/>
    <sheet state="visible" name="Gw12" sheetId="16" r:id="rId20"/>
    <sheet state="visible" name="Gw13" sheetId="17" r:id="rId21"/>
    <sheet state="visible" name="Gw14" sheetId="18" r:id="rId22"/>
    <sheet state="visible" name="Gw15" sheetId="19" r:id="rId23"/>
    <sheet state="visible" name="Gw16" sheetId="20" r:id="rId24"/>
    <sheet state="visible" name="Gw17" sheetId="21" r:id="rId25"/>
    <sheet state="visible" name="Gw18" sheetId="22" r:id="rId26"/>
    <sheet state="visible" name="Gw19" sheetId="23" r:id="rId27"/>
    <sheet state="visible" name="Gw20" sheetId="24" r:id="rId28"/>
    <sheet state="visible" name="Gw21" sheetId="25" r:id="rId29"/>
    <sheet state="visible" name="Gw22" sheetId="26" r:id="rId30"/>
    <sheet state="visible" name="Gw23" sheetId="27" r:id="rId31"/>
    <sheet state="visible" name="Gw24" sheetId="28" r:id="rId32"/>
    <sheet state="visible" name="Gw25" sheetId="29" r:id="rId33"/>
    <sheet state="visible" name="Gw26" sheetId="30" r:id="rId34"/>
    <sheet state="visible" name="Gw27" sheetId="31" r:id="rId35"/>
    <sheet state="visible" name="Gw28" sheetId="32" r:id="rId36"/>
    <sheet state="visible" name="Gw29" sheetId="33" r:id="rId37"/>
    <sheet state="visible" name="Gw30" sheetId="34" r:id="rId38"/>
    <sheet state="visible" name="Gw31" sheetId="35" r:id="rId39"/>
    <sheet state="visible" name="Gw32" sheetId="36" r:id="rId40"/>
    <sheet state="visible" name="Gw33" sheetId="37" r:id="rId41"/>
    <sheet state="visible" name="Gw34" sheetId="38" r:id="rId42"/>
    <sheet state="visible" name="Gw35" sheetId="39" r:id="rId43"/>
    <sheet state="visible" name="Gw36" sheetId="40" r:id="rId44"/>
    <sheet state="visible" name="Gw37" sheetId="41" r:id="rId45"/>
    <sheet state="visible" name="Gw38" sheetId="42" r:id="rId46"/>
    <sheet state="visible" name="Gw39" sheetId="43" r:id="rId47"/>
    <sheet state="visible" name="Gw40" sheetId="44" r:id="rId48"/>
    <sheet state="visible" name="Gw41" sheetId="45" r:id="rId49"/>
    <sheet state="visible" name="Gw42" sheetId="46" r:id="rId50"/>
    <sheet state="visible" name="Gw43" sheetId="47" r:id="rId51"/>
    <sheet state="visible" name="Gw44" sheetId="48" r:id="rId52"/>
    <sheet state="visible" name="Gw45" sheetId="49" r:id="rId53"/>
    <sheet state="visible" name="Gw46" sheetId="50" r:id="rId54"/>
    <sheet state="visible" name="Gw47" sheetId="51" r:id="rId55"/>
    <sheet state="visible" name="Gw48" sheetId="52" r:id="rId56"/>
    <sheet state="visible" name="Gw49" sheetId="53" r:id="rId57"/>
    <sheet state="visible" name="Analysis Tab" sheetId="54" r:id="rId58"/>
    <sheet state="visible" name="Pairings Analysis" sheetId="55" r:id="rId59"/>
    <sheet state="visible" name="Opposition Pairing Analysis" sheetId="56" r:id="rId60"/>
    <sheet state="visible" name="Awards" sheetId="57" r:id="rId61"/>
    <sheet state="visible" name="Workflow Tab" sheetId="58" r:id="rId62"/>
    <sheet state="visible" name="Opposition Pairings" sheetId="59" r:id="rId63"/>
  </sheets>
  <definedNames>
    <definedName hidden="1" localSheetId="3" name="_xlnm._FilterDatabase">'Common Team Pairings'!$A$1:$C$71</definedName>
    <definedName hidden="1" localSheetId="54" name="Z_AE554850_A023_4A01_82BE_E8B7F6B1AE35_.wvu.FilterData">'Pairings Analysis'!$A$1:$N$60</definedName>
    <definedName hidden="1" localSheetId="54" name="Z_174C0D00_0A05_4BD7_898F_808FD8738C09_.wvu.FilterData">'Pairings Analysis'!$A$1:$N$133</definedName>
    <definedName hidden="1" localSheetId="53" name="Z_478AB9C3_70DD_43AB_BFA0_32876513ACA9_.wvu.FilterData">'Analysis Tab'!$A$1:$P$35</definedName>
  </definedNames>
  <calcPr/>
  <customWorkbookViews>
    <customWorkbookView activeSheetId="0" maximized="1" windowHeight="0" windowWidth="0" guid="{AE554850-A023-4A01-82BE-E8B7F6B1AE35}" name="PairingView"/>
    <customWorkbookView activeSheetId="0" maximized="1" windowHeight="0" windowWidth="0" guid="{174C0D00-0A05-4BD7-898F-808FD8738C09}" name="Pairings Filter"/>
    <customWorkbookView activeSheetId="0" maximized="1" windowHeight="0" windowWidth="0" guid="{478AB9C3-70DD-43AB-BFA0-32876513ACA9}" name="Effra View"/>
  </customWorkbookViews>
</workbook>
</file>

<file path=xl/sharedStrings.xml><?xml version="1.0" encoding="utf-8"?>
<sst xmlns="http://schemas.openxmlformats.org/spreadsheetml/2006/main" count="1706" uniqueCount="225">
  <si>
    <t>Player 1</t>
  </si>
  <si>
    <t>GW(N)</t>
  </si>
  <si>
    <t>Player 2</t>
  </si>
  <si>
    <t>Opposing Team Pairings</t>
  </si>
  <si>
    <t>Team1</t>
  </si>
  <si>
    <t>Appearances</t>
  </si>
  <si>
    <t>Opposing Team Count</t>
  </si>
  <si>
    <t>Goals</t>
  </si>
  <si>
    <t>Dave</t>
  </si>
  <si>
    <t>Will Mac</t>
  </si>
  <si>
    <t>Team 2</t>
  </si>
  <si>
    <t>Crell</t>
  </si>
  <si>
    <t>Venue</t>
  </si>
  <si>
    <t>Gman</t>
  </si>
  <si>
    <t>Joe</t>
  </si>
  <si>
    <t>Nairn</t>
  </si>
  <si>
    <t>Kempy</t>
  </si>
  <si>
    <t>Char</t>
  </si>
  <si>
    <t>Bill</t>
  </si>
  <si>
    <t>Harry</t>
  </si>
  <si>
    <t>Leo</t>
  </si>
  <si>
    <t>Jez</t>
  </si>
  <si>
    <t>Jacob</t>
  </si>
  <si>
    <t>Marcus</t>
  </si>
  <si>
    <t>Luke</t>
  </si>
  <si>
    <t>Jamal</t>
  </si>
  <si>
    <t>Score</t>
  </si>
  <si>
    <t>Dan</t>
  </si>
  <si>
    <t>VENUE</t>
  </si>
  <si>
    <t>GW1</t>
  </si>
  <si>
    <t>GW2</t>
  </si>
  <si>
    <t>Karun</t>
  </si>
  <si>
    <t>GW3</t>
  </si>
  <si>
    <t>Connor</t>
  </si>
  <si>
    <t>Stockwell</t>
  </si>
  <si>
    <t>LG</t>
  </si>
  <si>
    <t>Jules</t>
  </si>
  <si>
    <t>OG</t>
  </si>
  <si>
    <t>Brixton</t>
  </si>
  <si>
    <t>Mile End</t>
  </si>
  <si>
    <t>GW5</t>
  </si>
  <si>
    <t>Joel</t>
  </si>
  <si>
    <t>GW6</t>
  </si>
  <si>
    <t>Will White</t>
  </si>
  <si>
    <t>GW7</t>
  </si>
  <si>
    <t xml:space="preserve">Mile End </t>
  </si>
  <si>
    <t>GW8</t>
  </si>
  <si>
    <t>GW9</t>
  </si>
  <si>
    <t>Jay</t>
  </si>
  <si>
    <t>GW10</t>
  </si>
  <si>
    <t>GW11</t>
  </si>
  <si>
    <t>Ben Novak</t>
  </si>
  <si>
    <t xml:space="preserve">GW13 </t>
  </si>
  <si>
    <t>GW12</t>
  </si>
  <si>
    <t>GW14</t>
  </si>
  <si>
    <t>GW15</t>
  </si>
  <si>
    <t>James</t>
  </si>
  <si>
    <t xml:space="preserve">Jay </t>
  </si>
  <si>
    <t>GW16</t>
  </si>
  <si>
    <t>GW17</t>
  </si>
  <si>
    <t>GW18</t>
  </si>
  <si>
    <t>GW19</t>
  </si>
  <si>
    <t>Sean</t>
  </si>
  <si>
    <t>GW20</t>
  </si>
  <si>
    <t>GW21</t>
  </si>
  <si>
    <t>Corin</t>
  </si>
  <si>
    <t>Ram</t>
  </si>
  <si>
    <t>GW22</t>
  </si>
  <si>
    <t>GW23</t>
  </si>
  <si>
    <t>stockwell</t>
  </si>
  <si>
    <t>GW24</t>
  </si>
  <si>
    <t>GW25</t>
  </si>
  <si>
    <t>Sinan</t>
  </si>
  <si>
    <t>GW26</t>
  </si>
  <si>
    <t>GW27</t>
  </si>
  <si>
    <t xml:space="preserve">Brixton </t>
  </si>
  <si>
    <t>GW28</t>
  </si>
  <si>
    <t>GW29</t>
  </si>
  <si>
    <t>Vauxhall</t>
  </si>
  <si>
    <t>GW30</t>
  </si>
  <si>
    <t>GW31</t>
  </si>
  <si>
    <t>Nik</t>
  </si>
  <si>
    <t>GW32</t>
  </si>
  <si>
    <t>GW33</t>
  </si>
  <si>
    <t>GW34</t>
  </si>
  <si>
    <t>Ben</t>
  </si>
  <si>
    <t>GW35</t>
  </si>
  <si>
    <t>GW36</t>
  </si>
  <si>
    <t>GW37</t>
  </si>
  <si>
    <t>GW38</t>
  </si>
  <si>
    <t>STOCKWELL</t>
  </si>
  <si>
    <t>MILE END</t>
  </si>
  <si>
    <t>GW39</t>
  </si>
  <si>
    <t>GW40</t>
  </si>
  <si>
    <t>GW41</t>
  </si>
  <si>
    <t>GW42</t>
  </si>
  <si>
    <t>GW43</t>
  </si>
  <si>
    <t>GW44</t>
  </si>
  <si>
    <t>GW45</t>
  </si>
  <si>
    <t>GW46</t>
  </si>
  <si>
    <t>Bart</t>
  </si>
  <si>
    <t>GW47</t>
  </si>
  <si>
    <t>GW48</t>
  </si>
  <si>
    <t>GW49</t>
  </si>
  <si>
    <t>Name</t>
  </si>
  <si>
    <t>Wins</t>
  </si>
  <si>
    <t>Draws</t>
  </si>
  <si>
    <t>Losses</t>
  </si>
  <si>
    <t>Total Team Goals</t>
  </si>
  <si>
    <t>Average Team Goals</t>
  </si>
  <si>
    <t>Total Team Conceded</t>
  </si>
  <si>
    <t>Average Team conceded</t>
  </si>
  <si>
    <t>Game Impact Differential</t>
  </si>
  <si>
    <t>Goals/game</t>
  </si>
  <si>
    <t>Win rate</t>
  </si>
  <si>
    <t>Draw rate</t>
  </si>
  <si>
    <t>Loss rate</t>
  </si>
  <si>
    <t>Attendance</t>
  </si>
  <si>
    <t>Goals Per Game in Games they Win</t>
  </si>
  <si>
    <t>Goals Per Game in Games they Lose</t>
  </si>
  <si>
    <t>Goals higher when winning</t>
  </si>
  <si>
    <t>Longest Win Streak</t>
  </si>
  <si>
    <t>Longest Loss Streak</t>
  </si>
  <si>
    <t>Name 2</t>
  </si>
  <si>
    <t>Times Appeared on the Same Team</t>
  </si>
  <si>
    <t>WIN CALC</t>
  </si>
  <si>
    <t>Player 1 Wins</t>
  </si>
  <si>
    <t>Player 1 Losses</t>
  </si>
  <si>
    <t>Game Impact Differential(Player 1)</t>
  </si>
  <si>
    <t>Player 1 Win Rate</t>
  </si>
  <si>
    <t>Player 1 Draw Rate</t>
  </si>
  <si>
    <t>Player 1 Loss Rate</t>
  </si>
  <si>
    <t>Ewan</t>
  </si>
  <si>
    <t>Award</t>
  </si>
  <si>
    <t>Category</t>
  </si>
  <si>
    <t>Explanation</t>
  </si>
  <si>
    <t>Prize</t>
  </si>
  <si>
    <t>Prize 25</t>
  </si>
  <si>
    <t>Winner 25</t>
  </si>
  <si>
    <t>Notes</t>
  </si>
  <si>
    <t>Defending 24</t>
  </si>
  <si>
    <t>Top Scorer</t>
  </si>
  <si>
    <t>Stats</t>
  </si>
  <si>
    <t>Most overall goals</t>
  </si>
  <si>
    <t>Medal</t>
  </si>
  <si>
    <t>Golden Boot</t>
  </si>
  <si>
    <t>Most goals per game</t>
  </si>
  <si>
    <t>Trophy</t>
  </si>
  <si>
    <t xml:space="preserve">Nairn (3.15) </t>
  </si>
  <si>
    <t>Dan (3.30)</t>
  </si>
  <si>
    <t>Wooden Boot</t>
  </si>
  <si>
    <t>Least goals per game</t>
  </si>
  <si>
    <t>Wood chip</t>
  </si>
  <si>
    <t>Door stop</t>
  </si>
  <si>
    <t>George</t>
  </si>
  <si>
    <t>Winners always Win</t>
  </si>
  <si>
    <t>Highest win%</t>
  </si>
  <si>
    <t>Joe (58.87)</t>
  </si>
  <si>
    <t>Jez (57), Bill (54), gman (51)</t>
  </si>
  <si>
    <t>Jan</t>
  </si>
  <si>
    <t>Better Together</t>
  </si>
  <si>
    <t>Highest win% as a pair</t>
  </si>
  <si>
    <t>2x Medal</t>
  </si>
  <si>
    <t>Bill + Kempy</t>
  </si>
  <si>
    <t>gman Joe tie, Jez Joe 3rd</t>
  </si>
  <si>
    <t>Jez + Harry</t>
  </si>
  <si>
    <t>Gruesome Twosome</t>
  </si>
  <si>
    <t>Lowest win% as a pair</t>
  </si>
  <si>
    <t>2x wooden spoon</t>
  </si>
  <si>
    <t>2x Wooden Spoon</t>
  </si>
  <si>
    <t>Nairn + Kempy (28%)</t>
  </si>
  <si>
    <t>CharKempy (31%) CharDave (33%)</t>
  </si>
  <si>
    <t>Dave + Char</t>
  </si>
  <si>
    <t>Rainbow Road</t>
  </si>
  <si>
    <t>5x Medal</t>
  </si>
  <si>
    <t>Joe, Crell, Gman, Char, Bill</t>
  </si>
  <si>
    <t>Skid Mark</t>
  </si>
  <si>
    <t>Longest Losing Streak</t>
  </si>
  <si>
    <t>Wooden spoon</t>
  </si>
  <si>
    <t>Wooden Spoon</t>
  </si>
  <si>
    <t>Data Darling</t>
  </si>
  <si>
    <t>Subjective but someone who stands out as an overperformer in the data</t>
  </si>
  <si>
    <t>Nemesis</t>
  </si>
  <si>
    <t>2 Players with the most statistically significant win/loss rate when in opposition</t>
  </si>
  <si>
    <t>Medal, spoon</t>
  </si>
  <si>
    <t>Bill (vs Harry)</t>
  </si>
  <si>
    <t>4 way tie (JezKempy, JezWillmac, CrellLeo, CharLeo</t>
  </si>
  <si>
    <t>Kempy (vs Dave)</t>
  </si>
  <si>
    <t>Got that Dawg in him</t>
  </si>
  <si>
    <t>N/A</t>
  </si>
  <si>
    <t>Flat Track Bully</t>
  </si>
  <si>
    <t xml:space="preserve">Player of the year </t>
  </si>
  <si>
    <t>Vote</t>
  </si>
  <si>
    <t>Self-explanatory</t>
  </si>
  <si>
    <t>Biggest Diva</t>
  </si>
  <si>
    <t>Fastest Pint (live)</t>
  </si>
  <si>
    <t>Most improved</t>
  </si>
  <si>
    <t>Baller (Creative Spark)</t>
  </si>
  <si>
    <t xml:space="preserve">Makes things happen ✨️ </t>
  </si>
  <si>
    <t>Assist King</t>
  </si>
  <si>
    <t>Golden Glove</t>
  </si>
  <si>
    <t>Top Keeper</t>
  </si>
  <si>
    <t>Wooden Glove</t>
  </si>
  <si>
    <t>Worst Keeper</t>
  </si>
  <si>
    <t>Wood Chip</t>
  </si>
  <si>
    <t>Rubber Gloves</t>
  </si>
  <si>
    <t>Player's Player</t>
  </si>
  <si>
    <t>Should lean towards teamwork</t>
  </si>
  <si>
    <t>Brick Wall</t>
  </si>
  <si>
    <t>Best defender</t>
  </si>
  <si>
    <t>Ankle Breaker (tough tackler)</t>
  </si>
  <si>
    <t>Joe Davies Award</t>
  </si>
  <si>
    <t>Non-Joe player of the year</t>
  </si>
  <si>
    <t>Jekyll and Hyde</t>
  </si>
  <si>
    <t>Most inconsistent player</t>
  </si>
  <si>
    <t>Silver Spoon</t>
  </si>
  <si>
    <t>Unsung Hero</t>
  </si>
  <si>
    <t>Best dressed</t>
  </si>
  <si>
    <t>Post-game MVP</t>
  </si>
  <si>
    <t>Good vibes etc.</t>
  </si>
  <si>
    <t>Steve</t>
  </si>
  <si>
    <t>abbabaabba</t>
  </si>
  <si>
    <t>Gw1</t>
  </si>
  <si>
    <t>Gw2</t>
  </si>
  <si>
    <t>Opposition Appearances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</si>
</sst>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5.0</v>
      </c>
      <c r="D2" s="1" t="s">
        <v>22</v>
      </c>
      <c r="E2" s="1">
        <v>3.0</v>
      </c>
    </row>
    <row r="3">
      <c r="B3" s="1" t="s">
        <v>15</v>
      </c>
      <c r="C3" s="1">
        <v>5.0</v>
      </c>
      <c r="D3" s="1" t="s">
        <v>23</v>
      </c>
      <c r="E3" s="1">
        <v>1.0</v>
      </c>
    </row>
    <row r="4">
      <c r="B4" s="1" t="s">
        <v>18</v>
      </c>
      <c r="C4" s="1">
        <v>4.0</v>
      </c>
      <c r="D4" s="1" t="s">
        <v>11</v>
      </c>
      <c r="E4" s="1">
        <v>2.0</v>
      </c>
    </row>
    <row r="5">
      <c r="B5" s="1" t="s">
        <v>9</v>
      </c>
      <c r="D5" s="1"/>
      <c r="E5" s="1"/>
    </row>
    <row r="6">
      <c r="B6" s="1" t="s">
        <v>13</v>
      </c>
      <c r="D6" s="1"/>
      <c r="E6" s="1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14</v>
      </c>
      <c r="D12" s="5" t="str">
        <f>IF(E12 &gt; C12, "W", IF(E12 &lt; C12, "L", "D"))
</f>
        <v>L</v>
      </c>
      <c r="E12" s="4">
        <f>sum(E2:E11)</f>
        <v>6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White,OG,Jacob,Ben Novak,James,Sinan,Dan,Sean,Marcus"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C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6</v>
      </c>
    </row>
    <row r="2">
      <c r="C2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</row>
    <row r="2">
      <c r="A2" s="1" t="s">
        <v>8</v>
      </c>
      <c r="B2" s="1" t="s">
        <v>9</v>
      </c>
      <c r="C2" s="3">
        <v>20.0</v>
      </c>
    </row>
    <row r="3">
      <c r="A3" s="1" t="s">
        <v>11</v>
      </c>
      <c r="B3" s="1" t="s">
        <v>8</v>
      </c>
      <c r="C3" s="3">
        <v>17.0</v>
      </c>
    </row>
    <row r="4">
      <c r="A4" s="1" t="s">
        <v>13</v>
      </c>
      <c r="B4" s="1" t="s">
        <v>14</v>
      </c>
      <c r="C4" s="3">
        <v>16.0</v>
      </c>
    </row>
    <row r="5">
      <c r="A5" s="1" t="s">
        <v>8</v>
      </c>
      <c r="B5" s="1" t="s">
        <v>15</v>
      </c>
      <c r="C5" s="3">
        <v>16.0</v>
      </c>
    </row>
    <row r="6">
      <c r="A6" s="1" t="s">
        <v>8</v>
      </c>
      <c r="B6" s="1" t="s">
        <v>16</v>
      </c>
      <c r="C6" s="3">
        <v>16.0</v>
      </c>
    </row>
    <row r="7">
      <c r="A7" s="1" t="s">
        <v>16</v>
      </c>
      <c r="B7" s="1" t="s">
        <v>15</v>
      </c>
      <c r="C7" s="3">
        <v>14.0</v>
      </c>
    </row>
    <row r="8">
      <c r="A8" s="1" t="s">
        <v>8</v>
      </c>
      <c r="B8" s="1" t="s">
        <v>13</v>
      </c>
      <c r="C8" s="3">
        <v>14.0</v>
      </c>
    </row>
    <row r="9">
      <c r="A9" s="1" t="s">
        <v>17</v>
      </c>
      <c r="B9" s="1" t="s">
        <v>14</v>
      </c>
      <c r="C9" s="3">
        <v>13.0</v>
      </c>
    </row>
    <row r="10">
      <c r="A10" s="1" t="s">
        <v>18</v>
      </c>
      <c r="B10" s="1" t="s">
        <v>14</v>
      </c>
      <c r="C10" s="3">
        <v>12.0</v>
      </c>
    </row>
    <row r="11">
      <c r="A11" s="1" t="s">
        <v>18</v>
      </c>
      <c r="B11" s="1" t="s">
        <v>13</v>
      </c>
      <c r="C11" s="3">
        <v>12.0</v>
      </c>
    </row>
    <row r="12">
      <c r="A12" s="1" t="s">
        <v>19</v>
      </c>
      <c r="B12" s="1" t="s">
        <v>15</v>
      </c>
      <c r="C12" s="3">
        <v>12.0</v>
      </c>
    </row>
    <row r="13">
      <c r="A13" s="1" t="s">
        <v>15</v>
      </c>
      <c r="B13" s="1" t="s">
        <v>9</v>
      </c>
      <c r="C13" s="3">
        <v>12.0</v>
      </c>
    </row>
    <row r="14">
      <c r="A14" s="1" t="s">
        <v>17</v>
      </c>
      <c r="B14" s="1" t="s">
        <v>8</v>
      </c>
      <c r="C14" s="3">
        <v>12.0</v>
      </c>
    </row>
    <row r="15">
      <c r="A15" s="1" t="s">
        <v>16</v>
      </c>
      <c r="B15" s="1" t="s">
        <v>9</v>
      </c>
      <c r="C15" s="3">
        <v>12.0</v>
      </c>
    </row>
    <row r="16">
      <c r="A16" s="1" t="s">
        <v>18</v>
      </c>
      <c r="B16" s="1" t="s">
        <v>9</v>
      </c>
      <c r="C16" s="3">
        <v>12.0</v>
      </c>
    </row>
    <row r="17">
      <c r="A17" s="1" t="s">
        <v>18</v>
      </c>
      <c r="B17" s="1" t="s">
        <v>20</v>
      </c>
      <c r="C17" s="3">
        <v>12.0</v>
      </c>
    </row>
    <row r="18">
      <c r="A18" s="1" t="s">
        <v>8</v>
      </c>
      <c r="B18" s="1" t="s">
        <v>14</v>
      </c>
      <c r="C18" s="3">
        <v>12.0</v>
      </c>
    </row>
    <row r="19">
      <c r="A19" s="1" t="s">
        <v>18</v>
      </c>
      <c r="B19" s="1" t="s">
        <v>16</v>
      </c>
      <c r="C19" s="3">
        <v>12.0</v>
      </c>
    </row>
    <row r="20">
      <c r="A20" s="1" t="s">
        <v>13</v>
      </c>
      <c r="B20" s="1" t="s">
        <v>21</v>
      </c>
      <c r="C20" s="3">
        <v>11.0</v>
      </c>
    </row>
    <row r="21">
      <c r="A21" s="1" t="s">
        <v>8</v>
      </c>
      <c r="B21" s="1" t="s">
        <v>19</v>
      </c>
      <c r="C21" s="3">
        <v>11.0</v>
      </c>
    </row>
    <row r="22">
      <c r="A22" s="1" t="s">
        <v>18</v>
      </c>
      <c r="B22" s="1" t="s">
        <v>8</v>
      </c>
      <c r="C22" s="3">
        <v>11.0</v>
      </c>
    </row>
    <row r="23">
      <c r="A23" s="1" t="s">
        <v>18</v>
      </c>
      <c r="B23" s="1" t="s">
        <v>15</v>
      </c>
      <c r="C23" s="3">
        <v>11.0</v>
      </c>
    </row>
    <row r="24">
      <c r="A24" s="1" t="s">
        <v>11</v>
      </c>
      <c r="B24" s="1" t="s">
        <v>13</v>
      </c>
      <c r="C24" s="3">
        <v>11.0</v>
      </c>
    </row>
    <row r="25">
      <c r="A25" s="1" t="s">
        <v>19</v>
      </c>
      <c r="B25" s="1" t="s">
        <v>21</v>
      </c>
      <c r="C25" s="3">
        <v>11.0</v>
      </c>
    </row>
    <row r="26">
      <c r="A26" s="1" t="s">
        <v>21</v>
      </c>
      <c r="B26" s="1" t="s">
        <v>14</v>
      </c>
      <c r="C26" s="3">
        <v>10.0</v>
      </c>
    </row>
    <row r="27">
      <c r="A27" s="1" t="s">
        <v>17</v>
      </c>
      <c r="B27" s="1" t="s">
        <v>15</v>
      </c>
      <c r="C27" s="3">
        <v>10.0</v>
      </c>
    </row>
    <row r="28">
      <c r="A28" s="1" t="s">
        <v>19</v>
      </c>
      <c r="B28" s="1" t="s">
        <v>9</v>
      </c>
      <c r="C28" s="3">
        <v>10.0</v>
      </c>
    </row>
    <row r="29">
      <c r="A29" s="1" t="s">
        <v>19</v>
      </c>
      <c r="B29" s="1" t="s">
        <v>16</v>
      </c>
      <c r="C29" s="3">
        <v>10.0</v>
      </c>
    </row>
    <row r="30">
      <c r="A30" s="1" t="s">
        <v>17</v>
      </c>
      <c r="B30" s="1" t="s">
        <v>9</v>
      </c>
      <c r="C30" s="3">
        <v>10.0</v>
      </c>
    </row>
    <row r="31">
      <c r="A31" s="1" t="s">
        <v>21</v>
      </c>
      <c r="B31" s="1" t="s">
        <v>20</v>
      </c>
      <c r="C31" s="3">
        <v>10.0</v>
      </c>
    </row>
    <row r="32">
      <c r="A32" s="1" t="s">
        <v>11</v>
      </c>
      <c r="B32" s="1" t="s">
        <v>9</v>
      </c>
      <c r="C32" s="3">
        <v>10.0</v>
      </c>
    </row>
    <row r="33">
      <c r="A33" s="1" t="s">
        <v>13</v>
      </c>
      <c r="B33" s="1" t="s">
        <v>15</v>
      </c>
      <c r="C33" s="3">
        <v>10.0</v>
      </c>
    </row>
    <row r="34">
      <c r="A34" s="1" t="s">
        <v>14</v>
      </c>
      <c r="B34" s="1" t="s">
        <v>16</v>
      </c>
      <c r="C34" s="3">
        <v>10.0</v>
      </c>
    </row>
    <row r="35">
      <c r="A35" s="1" t="s">
        <v>17</v>
      </c>
      <c r="B35" s="1" t="s">
        <v>11</v>
      </c>
      <c r="C35" s="3">
        <v>10.0</v>
      </c>
    </row>
    <row r="36">
      <c r="A36" s="1" t="s">
        <v>13</v>
      </c>
      <c r="B36" s="1" t="s">
        <v>16</v>
      </c>
      <c r="C36" s="3">
        <v>10.0</v>
      </c>
    </row>
    <row r="37">
      <c r="A37" s="1" t="s">
        <v>19</v>
      </c>
      <c r="B37" s="1" t="s">
        <v>20</v>
      </c>
      <c r="C37" s="3">
        <v>10.0</v>
      </c>
    </row>
    <row r="38">
      <c r="A38" s="1" t="s">
        <v>14</v>
      </c>
      <c r="B38" s="1" t="s">
        <v>20</v>
      </c>
      <c r="C38" s="3">
        <v>10.0</v>
      </c>
    </row>
    <row r="39">
      <c r="A39" s="1" t="s">
        <v>21</v>
      </c>
      <c r="B39" s="1" t="s">
        <v>9</v>
      </c>
      <c r="C39" s="3">
        <v>9.0</v>
      </c>
    </row>
    <row r="40">
      <c r="A40" s="1" t="s">
        <v>20</v>
      </c>
      <c r="B40" s="1" t="s">
        <v>9</v>
      </c>
      <c r="C40" s="3">
        <v>9.0</v>
      </c>
    </row>
    <row r="41">
      <c r="A41" s="1" t="s">
        <v>18</v>
      </c>
      <c r="B41" s="1" t="s">
        <v>11</v>
      </c>
      <c r="C41" s="3">
        <v>9.0</v>
      </c>
    </row>
    <row r="42">
      <c r="A42" s="1" t="s">
        <v>21</v>
      </c>
      <c r="B42" s="1" t="s">
        <v>16</v>
      </c>
      <c r="C42" s="3">
        <v>9.0</v>
      </c>
    </row>
    <row r="43">
      <c r="A43" s="1" t="s">
        <v>11</v>
      </c>
      <c r="B43" s="1" t="s">
        <v>14</v>
      </c>
      <c r="C43" s="3">
        <v>9.0</v>
      </c>
    </row>
    <row r="44">
      <c r="A44" s="1" t="s">
        <v>20</v>
      </c>
      <c r="B44" s="1" t="s">
        <v>15</v>
      </c>
      <c r="C44" s="3">
        <v>9.0</v>
      </c>
    </row>
    <row r="45">
      <c r="A45" s="1" t="s">
        <v>16</v>
      </c>
      <c r="B45" s="1" t="s">
        <v>24</v>
      </c>
      <c r="C45" s="3">
        <v>9.0</v>
      </c>
    </row>
    <row r="46">
      <c r="A46" s="1" t="s">
        <v>16</v>
      </c>
      <c r="B46" s="1" t="s">
        <v>20</v>
      </c>
      <c r="C46" s="3">
        <v>9.0</v>
      </c>
    </row>
    <row r="47">
      <c r="A47" s="1" t="s">
        <v>11</v>
      </c>
      <c r="B47" s="1" t="s">
        <v>19</v>
      </c>
      <c r="C47" s="3">
        <v>9.0</v>
      </c>
    </row>
    <row r="48">
      <c r="A48" s="1" t="s">
        <v>17</v>
      </c>
      <c r="B48" s="1" t="s">
        <v>16</v>
      </c>
      <c r="C48" s="3">
        <v>8.0</v>
      </c>
    </row>
    <row r="49">
      <c r="A49" s="1" t="s">
        <v>13</v>
      </c>
      <c r="B49" s="1" t="s">
        <v>19</v>
      </c>
      <c r="C49" s="3">
        <v>8.0</v>
      </c>
    </row>
    <row r="50">
      <c r="A50" s="1" t="s">
        <v>13</v>
      </c>
      <c r="B50" s="1" t="s">
        <v>9</v>
      </c>
      <c r="C50" s="3">
        <v>8.0</v>
      </c>
    </row>
    <row r="51">
      <c r="A51" s="1" t="s">
        <v>18</v>
      </c>
      <c r="B51" s="1" t="s">
        <v>21</v>
      </c>
      <c r="C51" s="3">
        <v>7.0</v>
      </c>
    </row>
    <row r="52">
      <c r="A52" s="1" t="s">
        <v>11</v>
      </c>
      <c r="B52" s="1" t="s">
        <v>21</v>
      </c>
      <c r="C52" s="3">
        <v>7.0</v>
      </c>
    </row>
    <row r="53">
      <c r="A53" s="1" t="s">
        <v>19</v>
      </c>
      <c r="B53" s="1" t="s">
        <v>14</v>
      </c>
      <c r="C53" s="3">
        <v>7.0</v>
      </c>
    </row>
    <row r="54">
      <c r="A54" s="1" t="s">
        <v>14</v>
      </c>
      <c r="B54" s="1" t="s">
        <v>15</v>
      </c>
      <c r="C54" s="3">
        <v>7.0</v>
      </c>
    </row>
    <row r="55">
      <c r="A55" s="1" t="s">
        <v>17</v>
      </c>
      <c r="B55" s="1" t="s">
        <v>13</v>
      </c>
      <c r="C55" s="3">
        <v>7.0</v>
      </c>
    </row>
    <row r="56">
      <c r="A56" s="1" t="s">
        <v>11</v>
      </c>
      <c r="B56" s="1" t="s">
        <v>16</v>
      </c>
      <c r="C56" s="3">
        <v>7.0</v>
      </c>
    </row>
    <row r="57">
      <c r="A57" s="1" t="s">
        <v>11</v>
      </c>
      <c r="B57" s="1" t="s">
        <v>15</v>
      </c>
      <c r="C57" s="3">
        <v>7.0</v>
      </c>
    </row>
    <row r="58">
      <c r="A58" s="1" t="s">
        <v>17</v>
      </c>
      <c r="B58" s="1" t="s">
        <v>20</v>
      </c>
      <c r="C58" s="3">
        <v>7.0</v>
      </c>
    </row>
    <row r="59">
      <c r="A59" s="1" t="s">
        <v>19</v>
      </c>
      <c r="B59" s="1" t="s">
        <v>24</v>
      </c>
      <c r="C59" s="3">
        <v>7.0</v>
      </c>
    </row>
    <row r="60">
      <c r="A60" s="1" t="s">
        <v>21</v>
      </c>
      <c r="B60" s="1" t="s">
        <v>15</v>
      </c>
      <c r="C60" s="3">
        <v>7.0</v>
      </c>
    </row>
    <row r="61">
      <c r="A61" s="1" t="s">
        <v>14</v>
      </c>
      <c r="B61" s="1" t="s">
        <v>24</v>
      </c>
      <c r="C61" s="3">
        <v>6.0</v>
      </c>
    </row>
    <row r="62">
      <c r="A62" s="1" t="s">
        <v>17</v>
      </c>
      <c r="B62" s="1" t="s">
        <v>19</v>
      </c>
      <c r="C62" s="3">
        <v>6.0</v>
      </c>
    </row>
    <row r="63">
      <c r="A63" s="1" t="s">
        <v>8</v>
      </c>
      <c r="B63" s="1" t="s">
        <v>21</v>
      </c>
      <c r="C63" s="3">
        <v>6.0</v>
      </c>
    </row>
    <row r="64">
      <c r="A64" s="1" t="s">
        <v>8</v>
      </c>
      <c r="B64" s="1" t="s">
        <v>20</v>
      </c>
      <c r="C64" s="3">
        <v>6.0</v>
      </c>
    </row>
    <row r="65">
      <c r="A65" s="1" t="s">
        <v>17</v>
      </c>
      <c r="B65" s="1" t="s">
        <v>21</v>
      </c>
      <c r="C65" s="3">
        <v>6.0</v>
      </c>
    </row>
    <row r="66">
      <c r="A66" s="1" t="s">
        <v>25</v>
      </c>
      <c r="B66" s="1" t="s">
        <v>14</v>
      </c>
      <c r="C66" s="3">
        <v>6.0</v>
      </c>
    </row>
    <row r="67">
      <c r="A67" s="1" t="s">
        <v>18</v>
      </c>
      <c r="B67" s="1" t="s">
        <v>17</v>
      </c>
      <c r="C67" s="3">
        <v>6.0</v>
      </c>
    </row>
    <row r="68">
      <c r="A68" s="1" t="s">
        <v>8</v>
      </c>
      <c r="B68" s="1" t="s">
        <v>24</v>
      </c>
      <c r="C68" s="3">
        <v>6.0</v>
      </c>
    </row>
    <row r="69">
      <c r="A69" s="1" t="s">
        <v>18</v>
      </c>
      <c r="B69" s="1" t="s">
        <v>19</v>
      </c>
      <c r="C69" s="3">
        <v>6.0</v>
      </c>
    </row>
    <row r="70">
      <c r="A70" s="1" t="s">
        <v>13</v>
      </c>
      <c r="B70" s="1" t="s">
        <v>20</v>
      </c>
      <c r="C70" s="3">
        <v>6.0</v>
      </c>
    </row>
    <row r="71">
      <c r="A71" s="1" t="s">
        <v>27</v>
      </c>
      <c r="B71" s="1" t="s">
        <v>19</v>
      </c>
      <c r="C71" s="3">
        <v>6.0</v>
      </c>
    </row>
  </sheetData>
  <autoFilter ref="$A$1:$C$7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15</v>
      </c>
      <c r="E2" s="1">
        <v>1.0</v>
      </c>
    </row>
    <row r="3">
      <c r="B3" s="1" t="s">
        <v>14</v>
      </c>
      <c r="C3" s="1">
        <v>3.0</v>
      </c>
      <c r="D3" s="1" t="s">
        <v>19</v>
      </c>
      <c r="E3" s="1">
        <v>1.0</v>
      </c>
    </row>
    <row r="4">
      <c r="B4" s="1" t="s">
        <v>18</v>
      </c>
      <c r="C4" s="1">
        <v>1.0</v>
      </c>
      <c r="D4" s="1" t="s">
        <v>17</v>
      </c>
      <c r="E4" s="1">
        <v>2.0</v>
      </c>
    </row>
    <row r="5">
      <c r="B5" s="1" t="s">
        <v>24</v>
      </c>
      <c r="C5" s="1">
        <v>3.0</v>
      </c>
      <c r="D5" s="1" t="s">
        <v>8</v>
      </c>
      <c r="E5" s="1">
        <v>2.0</v>
      </c>
    </row>
    <row r="6">
      <c r="B6" s="1" t="s">
        <v>13</v>
      </c>
      <c r="D6" s="1" t="s">
        <v>9</v>
      </c>
    </row>
    <row r="7">
      <c r="B7" s="1" t="s">
        <v>31</v>
      </c>
      <c r="D7" s="1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7</v>
      </c>
      <c r="D12" s="5" t="str">
        <f>IF(E12 &gt; C12, "W", IF(E12 &lt; C12, "L", "D"))
</f>
        <v>L</v>
      </c>
      <c r="E12" s="4">
        <f>sum(E2:E11)</f>
        <v>6</v>
      </c>
      <c r="F12" s="1" t="s">
        <v>34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5.0</v>
      </c>
      <c r="D2" s="1" t="s">
        <v>19</v>
      </c>
      <c r="E2" s="1"/>
    </row>
    <row r="3">
      <c r="B3" s="1" t="s">
        <v>9</v>
      </c>
      <c r="C3" s="1">
        <v>1.0</v>
      </c>
      <c r="D3" s="1" t="s">
        <v>14</v>
      </c>
      <c r="E3" s="1">
        <v>4.0</v>
      </c>
    </row>
    <row r="4">
      <c r="B4" s="1" t="s">
        <v>18</v>
      </c>
      <c r="D4" s="1" t="s">
        <v>15</v>
      </c>
      <c r="E4" s="1">
        <v>5.0</v>
      </c>
    </row>
    <row r="5">
      <c r="B5" s="1" t="s">
        <v>20</v>
      </c>
      <c r="D5" s="1" t="s">
        <v>13</v>
      </c>
    </row>
    <row r="6">
      <c r="B6" s="1" t="s">
        <v>11</v>
      </c>
      <c r="C6" s="1">
        <v>1.0</v>
      </c>
      <c r="D6" s="1" t="s">
        <v>36</v>
      </c>
    </row>
    <row r="7">
      <c r="B7" s="1" t="s">
        <v>8</v>
      </c>
      <c r="C7" s="1">
        <v>1.0</v>
      </c>
      <c r="D7" s="1" t="s">
        <v>17</v>
      </c>
    </row>
    <row r="8">
      <c r="B8" s="1" t="s">
        <v>37</v>
      </c>
      <c r="C8" s="1">
        <v>1.0</v>
      </c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9</v>
      </c>
      <c r="D12" s="5" t="str">
        <f>IF(E12 &gt; C12, "W", IF(E12 &lt; C12, "L", "D"))
</f>
        <v>D</v>
      </c>
      <c r="E12" s="4">
        <f>sum(E2:E11)</f>
        <v>9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5.0</v>
      </c>
      <c r="D2" s="1" t="s">
        <v>18</v>
      </c>
      <c r="E2" s="1">
        <v>1.0</v>
      </c>
    </row>
    <row r="3">
      <c r="B3" s="1" t="s">
        <v>16</v>
      </c>
      <c r="C3" s="1">
        <v>1.0</v>
      </c>
      <c r="D3" s="1" t="s">
        <v>15</v>
      </c>
      <c r="E3" s="1">
        <v>2.0</v>
      </c>
    </row>
    <row r="4">
      <c r="B4" s="1" t="s">
        <v>17</v>
      </c>
      <c r="D4" s="1" t="s">
        <v>33</v>
      </c>
      <c r="E4" s="1">
        <v>1.0</v>
      </c>
    </row>
    <row r="5">
      <c r="B5" s="1" t="s">
        <v>11</v>
      </c>
      <c r="C5" s="1">
        <v>1.0</v>
      </c>
      <c r="D5" s="1" t="s">
        <v>8</v>
      </c>
      <c r="E5" s="1">
        <v>1.0</v>
      </c>
    </row>
    <row r="6">
      <c r="B6" s="1" t="s">
        <v>14</v>
      </c>
      <c r="C6" s="1">
        <v>1.0</v>
      </c>
      <c r="D6" s="1" t="s">
        <v>20</v>
      </c>
    </row>
    <row r="7">
      <c r="B7" s="1" t="s">
        <v>25</v>
      </c>
      <c r="C7" s="1">
        <v>1.0</v>
      </c>
      <c r="D7" s="1" t="s">
        <v>9</v>
      </c>
    </row>
    <row r="8">
      <c r="B8" s="1" t="s">
        <v>35</v>
      </c>
      <c r="C8" s="1">
        <v>2.0</v>
      </c>
      <c r="D8" s="1" t="s">
        <v>31</v>
      </c>
    </row>
    <row r="9">
      <c r="B9" s="1" t="s">
        <v>37</v>
      </c>
      <c r="C9" s="1">
        <v>1.0</v>
      </c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12</v>
      </c>
      <c r="D12" s="5" t="str">
        <f>IF(E12 &gt; C12, "W", IF(E12 &lt; C12, "L", "D"))
</f>
        <v>L</v>
      </c>
      <c r="E12" s="4">
        <f>sum(E2:E11)</f>
        <v>5</v>
      </c>
      <c r="F12" s="1" t="s">
        <v>38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5" t="s">
        <v>9</v>
      </c>
      <c r="C2" s="1">
        <v>3.0</v>
      </c>
      <c r="D2" s="5" t="s">
        <v>17</v>
      </c>
      <c r="E2" s="1">
        <v>2.0</v>
      </c>
    </row>
    <row r="3">
      <c r="B3" s="5" t="s">
        <v>20</v>
      </c>
      <c r="D3" s="5" t="s">
        <v>16</v>
      </c>
      <c r="E3" s="1">
        <v>2.0</v>
      </c>
    </row>
    <row r="4">
      <c r="B4" s="5" t="s">
        <v>15</v>
      </c>
      <c r="C4" s="1">
        <v>4.0</v>
      </c>
      <c r="D4" s="5" t="s">
        <v>41</v>
      </c>
    </row>
    <row r="5">
      <c r="B5" s="5" t="s">
        <v>35</v>
      </c>
      <c r="C5" s="1">
        <v>1.0</v>
      </c>
      <c r="D5" s="5" t="s">
        <v>24</v>
      </c>
      <c r="E5" s="1">
        <v>2.0</v>
      </c>
    </row>
    <row r="6">
      <c r="B6" s="1" t="s">
        <v>11</v>
      </c>
      <c r="C6" s="1">
        <v>1.0</v>
      </c>
      <c r="D6" s="5" t="s">
        <v>21</v>
      </c>
      <c r="E6" s="1">
        <v>1.0</v>
      </c>
    </row>
    <row r="7">
      <c r="B7" s="5" t="s">
        <v>8</v>
      </c>
      <c r="C7" s="1">
        <v>1.0</v>
      </c>
      <c r="D7" s="1" t="s">
        <v>37</v>
      </c>
      <c r="E7" s="1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8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1.0</v>
      </c>
      <c r="D2" s="1" t="s">
        <v>35</v>
      </c>
    </row>
    <row r="3">
      <c r="B3" s="1" t="s">
        <v>31</v>
      </c>
      <c r="D3" s="1" t="s">
        <v>15</v>
      </c>
      <c r="E3" s="1">
        <v>4.0</v>
      </c>
    </row>
    <row r="4">
      <c r="B4" s="1" t="s">
        <v>16</v>
      </c>
      <c r="D4" s="1" t="s">
        <v>11</v>
      </c>
      <c r="E4" s="1">
        <v>1.0</v>
      </c>
    </row>
    <row r="5">
      <c r="B5" s="1" t="s">
        <v>24</v>
      </c>
      <c r="C5" s="1">
        <v>3.0</v>
      </c>
      <c r="D5" s="1" t="s">
        <v>8</v>
      </c>
      <c r="E5" s="1">
        <v>1.0</v>
      </c>
    </row>
    <row r="6">
      <c r="B6" s="1" t="s">
        <v>35</v>
      </c>
      <c r="D6" s="1" t="s">
        <v>14</v>
      </c>
    </row>
    <row r="7">
      <c r="B7" s="1" t="s">
        <v>20</v>
      </c>
      <c r="D7" s="1" t="s">
        <v>17</v>
      </c>
    </row>
    <row r="8">
      <c r="B8" s="1" t="s">
        <v>9</v>
      </c>
      <c r="C8" s="1">
        <v>1.0</v>
      </c>
      <c r="D8" s="1" t="s">
        <v>18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5</v>
      </c>
      <c r="D12" s="5" t="str">
        <f>IF(E12 &gt; C12, "W", IF(E12 &lt; C12, "L", "D"))
</f>
        <v>W</v>
      </c>
      <c r="E12" s="4">
        <f>sum(E2:E11)</f>
        <v>6</v>
      </c>
      <c r="F12" s="1" t="s">
        <v>38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3.0</v>
      </c>
      <c r="D2" s="1" t="s">
        <v>43</v>
      </c>
    </row>
    <row r="3">
      <c r="B3" s="1" t="s">
        <v>31</v>
      </c>
      <c r="C3" s="1">
        <v>1.0</v>
      </c>
      <c r="D3" s="1" t="s">
        <v>20</v>
      </c>
      <c r="E3" s="1">
        <v>2.0</v>
      </c>
    </row>
    <row r="4">
      <c r="B4" s="1" t="s">
        <v>8</v>
      </c>
      <c r="C4" s="1">
        <v>2.0</v>
      </c>
      <c r="D4" s="1" t="s">
        <v>16</v>
      </c>
      <c r="E4" s="1">
        <v>2.0</v>
      </c>
    </row>
    <row r="5">
      <c r="B5" s="1" t="s">
        <v>13</v>
      </c>
      <c r="D5" s="1" t="s">
        <v>17</v>
      </c>
      <c r="E5" s="1">
        <v>3.0</v>
      </c>
    </row>
    <row r="6">
      <c r="B6" s="1" t="s">
        <v>11</v>
      </c>
      <c r="C6" s="1">
        <v>4.0</v>
      </c>
      <c r="D6" s="1" t="s">
        <v>24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8</v>
      </c>
      <c r="F12" s="1" t="s">
        <v>34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2.0</v>
      </c>
      <c r="D2" s="1" t="s">
        <v>18</v>
      </c>
      <c r="E2" s="1">
        <v>2.0</v>
      </c>
    </row>
    <row r="3">
      <c r="B3" s="1" t="s">
        <v>16</v>
      </c>
      <c r="D3" s="1" t="s">
        <v>9</v>
      </c>
      <c r="E3" s="1">
        <v>2.0</v>
      </c>
    </row>
    <row r="4">
      <c r="B4" s="1" t="s">
        <v>14</v>
      </c>
      <c r="C4" s="1">
        <v>2.0</v>
      </c>
      <c r="D4" s="1" t="s">
        <v>11</v>
      </c>
      <c r="E4" s="1">
        <v>2.0</v>
      </c>
    </row>
    <row r="5">
      <c r="B5" s="1" t="s">
        <v>13</v>
      </c>
      <c r="C5" s="1">
        <v>1.0</v>
      </c>
      <c r="D5" s="1" t="s">
        <v>36</v>
      </c>
    </row>
    <row r="6">
      <c r="B6" s="1" t="s">
        <v>8</v>
      </c>
      <c r="C6" s="1">
        <v>1.0</v>
      </c>
      <c r="D6" s="1" t="s">
        <v>20</v>
      </c>
      <c r="E6" s="1">
        <v>2.0</v>
      </c>
    </row>
    <row r="7">
      <c r="B7" s="1" t="s">
        <v>24</v>
      </c>
      <c r="D7" s="1" t="s">
        <v>31</v>
      </c>
      <c r="E7" s="1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6</v>
      </c>
      <c r="D12" s="5" t="str">
        <f>IF(E12 &gt; C12, "W", IF(E12 &lt; C12, "L", "D"))
</f>
        <v>W</v>
      </c>
      <c r="E12" s="4">
        <f>sum(E2:E11)</f>
        <v>9</v>
      </c>
      <c r="F12" s="1" t="s">
        <v>45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4.0</v>
      </c>
      <c r="D2" s="1" t="s">
        <v>11</v>
      </c>
    </row>
    <row r="3">
      <c r="B3" s="1" t="s">
        <v>19</v>
      </c>
      <c r="D3" s="1" t="s">
        <v>8</v>
      </c>
      <c r="E3" s="1">
        <v>1.0</v>
      </c>
    </row>
    <row r="4">
      <c r="B4" s="1" t="s">
        <v>14</v>
      </c>
      <c r="D4" s="1" t="s">
        <v>18</v>
      </c>
      <c r="E4" s="1">
        <v>3.0</v>
      </c>
    </row>
    <row r="5">
      <c r="B5" s="1" t="s">
        <v>20</v>
      </c>
      <c r="C5" s="1">
        <v>2.0</v>
      </c>
      <c r="D5" s="1" t="s">
        <v>16</v>
      </c>
      <c r="E5" s="1">
        <v>1.0</v>
      </c>
    </row>
    <row r="6">
      <c r="B6" s="1" t="s">
        <v>48</v>
      </c>
      <c r="D6" s="1" t="s">
        <v>9</v>
      </c>
      <c r="E6" s="1">
        <v>3.0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6</v>
      </c>
      <c r="D12" s="5" t="str">
        <f>IF(E12 &gt; C12, "W", IF(E12 &lt; C12, "L", "D"))
</f>
        <v>W</v>
      </c>
      <c r="E12" s="4">
        <f>sum(E2:E11)</f>
        <v>8</v>
      </c>
      <c r="F12" s="1" t="s">
        <v>34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47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4.0</v>
      </c>
      <c r="D2" s="1" t="s">
        <v>18</v>
      </c>
      <c r="E2" s="1">
        <v>3.0</v>
      </c>
    </row>
    <row r="3">
      <c r="B3" s="1" t="s">
        <v>20</v>
      </c>
      <c r="C3" s="1">
        <v>3.0</v>
      </c>
      <c r="D3" s="1" t="s">
        <v>16</v>
      </c>
      <c r="E3" s="1">
        <v>1.0</v>
      </c>
    </row>
    <row r="4">
      <c r="B4" s="1" t="s">
        <v>14</v>
      </c>
      <c r="D4" s="1" t="s">
        <v>8</v>
      </c>
      <c r="E4" s="1">
        <v>1.0</v>
      </c>
    </row>
    <row r="5">
      <c r="B5" s="1" t="s">
        <v>48</v>
      </c>
      <c r="D5" s="1" t="s">
        <v>9</v>
      </c>
      <c r="E5" s="1">
        <v>3.0</v>
      </c>
    </row>
    <row r="6">
      <c r="B6" s="1" t="s">
        <v>19</v>
      </c>
      <c r="D6" s="1" t="s">
        <v>11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7</v>
      </c>
      <c r="D12" s="5" t="str">
        <f>IF(E12 &gt; C12, "W", IF(E12 &lt; C12, "L", "D"))
</f>
        <v>W</v>
      </c>
      <c r="E12" s="4">
        <f>sum(E2:E11)</f>
        <v>8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3.0</v>
      </c>
      <c r="D2" s="1" t="s">
        <v>11</v>
      </c>
    </row>
    <row r="3">
      <c r="B3" s="1" t="s">
        <v>9</v>
      </c>
      <c r="C3" s="1">
        <v>1.0</v>
      </c>
      <c r="D3" s="1" t="s">
        <v>14</v>
      </c>
      <c r="E3" s="1">
        <v>1.0</v>
      </c>
    </row>
    <row r="4">
      <c r="B4" s="1" t="s">
        <v>16</v>
      </c>
      <c r="C4" s="1">
        <v>1.0</v>
      </c>
      <c r="D4" s="1" t="s">
        <v>35</v>
      </c>
      <c r="E4" s="1">
        <v>1.0</v>
      </c>
    </row>
    <row r="5">
      <c r="B5" s="1" t="s">
        <v>8</v>
      </c>
      <c r="D5" s="1" t="s">
        <v>17</v>
      </c>
      <c r="E5" s="1">
        <v>1.0</v>
      </c>
    </row>
    <row r="6">
      <c r="B6" s="1" t="s">
        <v>19</v>
      </c>
      <c r="D6" s="1" t="s">
        <v>18</v>
      </c>
    </row>
    <row r="7">
      <c r="B7" s="1"/>
      <c r="D7" s="1" t="s">
        <v>51</v>
      </c>
      <c r="E7" s="1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5</v>
      </c>
      <c r="D12" s="5" t="str">
        <f>IF(E12 &gt; C12, "W", IF(E12 &lt; C12, "L", "D"))
</f>
        <v>L</v>
      </c>
      <c r="E12" s="4">
        <f>SUM(E2:E11)</f>
        <v>4</v>
      </c>
      <c r="F12" s="1" t="s">
        <v>28</v>
      </c>
      <c r="G12" s="1" t="s">
        <v>38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White,OG,Louis,Ben Novak"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14</v>
      </c>
      <c r="C2" s="1">
        <v>8.0</v>
      </c>
      <c r="D2" s="1" t="s">
        <v>15</v>
      </c>
      <c r="E2" s="1">
        <v>1.0</v>
      </c>
    </row>
    <row r="3">
      <c r="B3" s="1" t="s">
        <v>9</v>
      </c>
      <c r="D3" s="1" t="s">
        <v>18</v>
      </c>
      <c r="E3" s="1">
        <v>1.0</v>
      </c>
    </row>
    <row r="4">
      <c r="B4" s="1" t="s">
        <v>16</v>
      </c>
      <c r="C4" s="1">
        <v>2.0</v>
      </c>
      <c r="D4" s="1" t="s">
        <v>17</v>
      </c>
      <c r="E4" s="1">
        <v>2.0</v>
      </c>
    </row>
    <row r="5">
      <c r="B5" s="1" t="s">
        <v>8</v>
      </c>
      <c r="D5" s="1" t="s">
        <v>35</v>
      </c>
    </row>
    <row r="6">
      <c r="B6" s="1" t="s">
        <v>13</v>
      </c>
      <c r="D6" s="1" t="s">
        <v>20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4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8</v>
      </c>
      <c r="D2" s="1" t="s">
        <v>24</v>
      </c>
      <c r="E2" s="1">
        <v>3.0</v>
      </c>
    </row>
    <row r="3">
      <c r="B3" s="1" t="s">
        <v>9</v>
      </c>
      <c r="D3" s="1" t="s">
        <v>19</v>
      </c>
      <c r="E3" s="1">
        <v>2.0</v>
      </c>
    </row>
    <row r="4">
      <c r="B4" s="1" t="s">
        <v>31</v>
      </c>
      <c r="D4" s="1" t="s">
        <v>13</v>
      </c>
      <c r="E4" s="1">
        <v>2.0</v>
      </c>
    </row>
    <row r="5">
      <c r="B5" s="1" t="s">
        <v>11</v>
      </c>
      <c r="D5" s="1" t="s">
        <v>18</v>
      </c>
      <c r="E5" s="1">
        <v>1.0</v>
      </c>
    </row>
    <row r="6">
      <c r="B6" s="1" t="s">
        <v>41</v>
      </c>
      <c r="C6" s="1">
        <v>1.0</v>
      </c>
      <c r="D6" s="1" t="s">
        <v>16</v>
      </c>
      <c r="E6" s="1">
        <v>1.0</v>
      </c>
    </row>
    <row r="7">
      <c r="B7" s="1" t="s">
        <v>17</v>
      </c>
      <c r="C7" s="1">
        <v>1.0</v>
      </c>
      <c r="D7" s="1" t="s">
        <v>35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2</v>
      </c>
      <c r="D12" s="5" t="str">
        <f>IF(E12 &gt; C12, "W", IF(E12 &lt; C12, "L", "D"))
</f>
        <v>W</v>
      </c>
      <c r="E12" s="4">
        <f>sum(E2:E11)</f>
        <v>9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2.0</v>
      </c>
      <c r="D2" s="1" t="s">
        <v>24</v>
      </c>
      <c r="E2" s="1">
        <v>1.0</v>
      </c>
    </row>
    <row r="3">
      <c r="B3" s="1" t="s">
        <v>15</v>
      </c>
      <c r="C3" s="1">
        <v>5.0</v>
      </c>
      <c r="D3" s="1" t="s">
        <v>9</v>
      </c>
      <c r="E3" s="1">
        <v>1.0</v>
      </c>
    </row>
    <row r="4">
      <c r="B4" s="1" t="s">
        <v>8</v>
      </c>
      <c r="D4" s="1" t="s">
        <v>41</v>
      </c>
      <c r="E4" s="1">
        <v>1.0</v>
      </c>
    </row>
    <row r="5">
      <c r="B5" s="1" t="s">
        <v>19</v>
      </c>
      <c r="C5" s="1">
        <v>2.0</v>
      </c>
      <c r="D5" s="1" t="s">
        <v>31</v>
      </c>
    </row>
    <row r="6">
      <c r="B6" s="1" t="s">
        <v>13</v>
      </c>
      <c r="C6" s="1">
        <v>1.0</v>
      </c>
      <c r="D6" s="1" t="s">
        <v>16</v>
      </c>
      <c r="E6" s="1">
        <v>1.0</v>
      </c>
    </row>
    <row r="7">
      <c r="B7" s="5"/>
      <c r="D7" s="1" t="s">
        <v>35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4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22</v>
      </c>
      <c r="C2" s="1">
        <v>3.0</v>
      </c>
      <c r="D2" s="1" t="s">
        <v>9</v>
      </c>
      <c r="E2" s="1">
        <v>3.0</v>
      </c>
    </row>
    <row r="3">
      <c r="B3" s="1" t="s">
        <v>11</v>
      </c>
      <c r="D3" s="1" t="s">
        <v>21</v>
      </c>
      <c r="E3" s="1">
        <v>3.0</v>
      </c>
    </row>
    <row r="4">
      <c r="B4" s="1" t="s">
        <v>35</v>
      </c>
      <c r="C4" s="1">
        <v>3.0</v>
      </c>
      <c r="D4" s="1" t="s">
        <v>15</v>
      </c>
      <c r="E4" s="1">
        <v>4.0</v>
      </c>
    </row>
    <row r="5">
      <c r="B5" s="1" t="s">
        <v>17</v>
      </c>
      <c r="C5" s="1">
        <v>2.0</v>
      </c>
      <c r="D5" s="1" t="s">
        <v>19</v>
      </c>
    </row>
    <row r="6">
      <c r="B6" s="1" t="s">
        <v>8</v>
      </c>
      <c r="D6" s="1" t="s">
        <v>13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8</v>
      </c>
      <c r="D12" s="5" t="str">
        <f>IF(E12 &gt; C12, "W", IF(E12 &lt; C12, "L", "D"))
</f>
        <v>W</v>
      </c>
      <c r="E12" s="4">
        <f>sum(E2:E11)</f>
        <v>11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55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2.0</v>
      </c>
      <c r="D2" s="1" t="s">
        <v>14</v>
      </c>
    </row>
    <row r="3">
      <c r="B3" s="1" t="s">
        <v>15</v>
      </c>
      <c r="D3" s="1" t="s">
        <v>13</v>
      </c>
    </row>
    <row r="4">
      <c r="B4" s="1" t="s">
        <v>19</v>
      </c>
      <c r="D4" s="1" t="s">
        <v>56</v>
      </c>
      <c r="E4" s="1">
        <v>3.0</v>
      </c>
    </row>
    <row r="5">
      <c r="B5" s="1" t="s">
        <v>35</v>
      </c>
      <c r="C5" s="1">
        <v>1.0</v>
      </c>
      <c r="D5" s="1" t="s">
        <v>17</v>
      </c>
      <c r="E5" s="1">
        <v>2.0</v>
      </c>
    </row>
    <row r="6">
      <c r="B6" s="1" t="s">
        <v>57</v>
      </c>
      <c r="D6" s="1" t="s">
        <v>9</v>
      </c>
      <c r="E6" s="1">
        <v>1.0</v>
      </c>
    </row>
    <row r="7">
      <c r="B7" s="1" t="s">
        <v>22</v>
      </c>
      <c r="C7" s="1">
        <v>3.0</v>
      </c>
      <c r="D7" s="1" t="s">
        <v>20</v>
      </c>
    </row>
    <row r="8">
      <c r="B8" s="5"/>
      <c r="D8" s="1" t="s">
        <v>16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6</v>
      </c>
      <c r="D12" s="5" t="str">
        <f>IF(E12 &gt; C12, "W", IF(E12 &lt; C12, "L", "D"))
</f>
        <v>D</v>
      </c>
      <c r="E12" s="4">
        <f>sum(E2:E11)</f>
        <v>6</v>
      </c>
      <c r="F12" s="1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White,OG,Jacob,James"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58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14</v>
      </c>
      <c r="C2" s="1">
        <v>3.0</v>
      </c>
      <c r="D2" s="1" t="s">
        <v>19</v>
      </c>
      <c r="E2" s="1">
        <v>1.0</v>
      </c>
    </row>
    <row r="3">
      <c r="B3" s="1" t="s">
        <v>48</v>
      </c>
      <c r="D3" s="1" t="s">
        <v>9</v>
      </c>
    </row>
    <row r="4">
      <c r="B4" s="1" t="s">
        <v>18</v>
      </c>
      <c r="C4" s="1">
        <v>1.0</v>
      </c>
      <c r="D4" s="1" t="s">
        <v>8</v>
      </c>
      <c r="E4" s="1">
        <v>3.0</v>
      </c>
    </row>
    <row r="5">
      <c r="B5" s="1" t="s">
        <v>13</v>
      </c>
      <c r="C5" s="1">
        <v>1.0</v>
      </c>
      <c r="D5" s="1" t="s">
        <v>16</v>
      </c>
    </row>
    <row r="6">
      <c r="B6" s="1" t="s">
        <v>20</v>
      </c>
      <c r="C6" s="1">
        <v>1.0</v>
      </c>
      <c r="D6" s="1" t="s">
        <v>37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6</v>
      </c>
      <c r="D12" s="5" t="str">
        <f>IF(E12 &gt; C12, "W", IF(E12 &lt; C12, "L", "D"))
</f>
        <v>L</v>
      </c>
      <c r="E12" s="4">
        <f>sum(E2:E11)</f>
        <v>5</v>
      </c>
      <c r="F12" s="1" t="s">
        <v>34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14</v>
      </c>
      <c r="C2" s="1">
        <v>2.0</v>
      </c>
      <c r="D2" s="1" t="s">
        <v>19</v>
      </c>
    </row>
    <row r="3">
      <c r="B3" s="1" t="s">
        <v>18</v>
      </c>
      <c r="C3" s="1">
        <v>1.0</v>
      </c>
      <c r="D3" s="1" t="s">
        <v>27</v>
      </c>
      <c r="E3" s="1">
        <v>1.0</v>
      </c>
    </row>
    <row r="4">
      <c r="B4" s="1" t="s">
        <v>25</v>
      </c>
      <c r="D4" s="1" t="s">
        <v>11</v>
      </c>
    </row>
    <row r="5">
      <c r="B5" s="1" t="s">
        <v>13</v>
      </c>
      <c r="D5" s="1" t="s">
        <v>20</v>
      </c>
      <c r="E5" s="1">
        <v>1.0</v>
      </c>
    </row>
    <row r="6">
      <c r="B6" s="5"/>
      <c r="D6" s="1" t="s">
        <v>37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3</v>
      </c>
      <c r="D12" s="5" t="str">
        <f>IF(E12 &gt; C12, "W", IF(E12 &lt; C12, "L", "D"))
</f>
        <v>D</v>
      </c>
      <c r="E12" s="4">
        <f>sum(E2:E11)</f>
        <v>3</v>
      </c>
      <c r="F12" s="1" t="s">
        <v>34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13</v>
      </c>
      <c r="C2" s="1">
        <v>1.0</v>
      </c>
      <c r="D2" s="1" t="s">
        <v>15</v>
      </c>
      <c r="E2" s="1">
        <v>0.0</v>
      </c>
    </row>
    <row r="3">
      <c r="B3" s="1" t="s">
        <v>14</v>
      </c>
      <c r="C3" s="1">
        <v>3.0</v>
      </c>
      <c r="D3" s="1" t="s">
        <v>18</v>
      </c>
      <c r="E3" s="1">
        <v>1.0</v>
      </c>
    </row>
    <row r="4">
      <c r="B4" s="1" t="s">
        <v>11</v>
      </c>
      <c r="C4" s="1">
        <v>4.0</v>
      </c>
      <c r="D4" s="1" t="s">
        <v>62</v>
      </c>
      <c r="E4" s="1">
        <v>2.0</v>
      </c>
    </row>
    <row r="5">
      <c r="B5" s="1" t="s">
        <v>8</v>
      </c>
      <c r="C5" s="1">
        <v>0.0</v>
      </c>
      <c r="D5" s="1" t="s">
        <v>27</v>
      </c>
      <c r="E5" s="1">
        <v>6.0</v>
      </c>
    </row>
    <row r="6">
      <c r="B6" s="1" t="s">
        <v>37</v>
      </c>
      <c r="C6" s="1">
        <v>1.0</v>
      </c>
      <c r="D6" s="1" t="s">
        <v>48</v>
      </c>
      <c r="E6" s="1">
        <v>0.0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1">
      <c r="F11" s="1" t="s">
        <v>34</v>
      </c>
    </row>
    <row r="12">
      <c r="A12" s="2" t="s">
        <v>26</v>
      </c>
      <c r="B12" s="5" t="str">
        <f>IF(C12 &gt; E12, "W", IF(C12 &lt; E12, "L", "D"))
</f>
        <v>D</v>
      </c>
      <c r="C12" s="4">
        <f>SUM(C2:C11)</f>
        <v>9</v>
      </c>
      <c r="D12" s="5" t="str">
        <f>IF(E12 &gt; C12, "W", IF(E12 &lt; C12, "L", "D"))
</f>
        <v>D</v>
      </c>
      <c r="E12" s="4">
        <f>sum(E2:E11)</f>
        <v>9</v>
      </c>
      <c r="F12" s="1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White,OG,Dan,Sean,Sinan"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61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13</v>
      </c>
      <c r="C2" s="1">
        <v>1.0</v>
      </c>
      <c r="D2" s="1" t="s">
        <v>15</v>
      </c>
    </row>
    <row r="3">
      <c r="B3" s="1" t="s">
        <v>14</v>
      </c>
      <c r="C3" s="1">
        <v>3.0</v>
      </c>
      <c r="D3" s="1" t="s">
        <v>18</v>
      </c>
      <c r="E3" s="1">
        <v>1.0</v>
      </c>
    </row>
    <row r="4">
      <c r="B4" s="1" t="s">
        <v>37</v>
      </c>
      <c r="C4" s="1">
        <v>1.0</v>
      </c>
      <c r="D4" s="1" t="s">
        <v>62</v>
      </c>
      <c r="E4" s="1">
        <v>2.0</v>
      </c>
    </row>
    <row r="5">
      <c r="B5" s="1" t="s">
        <v>11</v>
      </c>
      <c r="C5" s="1">
        <v>4.0</v>
      </c>
      <c r="D5" s="1" t="s">
        <v>27</v>
      </c>
      <c r="E5" s="1">
        <v>5.0</v>
      </c>
    </row>
    <row r="6">
      <c r="B6" s="1" t="s">
        <v>8</v>
      </c>
      <c r="C6" s="1">
        <v>0.0</v>
      </c>
      <c r="D6" s="1" t="s">
        <v>48</v>
      </c>
      <c r="E6" s="1">
        <v>0.0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9</v>
      </c>
      <c r="D12" s="5" t="str">
        <f>IF(E12 &gt; C12, "W", IF(E12 &lt; C12, "L", "D"))
</f>
        <v>L</v>
      </c>
      <c r="E12" s="4">
        <f>sum(E2:E11)</f>
        <v>8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White,OG,Jacob,Ben Novak,James,Sinan,Dan,Sean"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13</v>
      </c>
      <c r="C2" s="1">
        <v>1.0</v>
      </c>
      <c r="D2" s="1" t="s">
        <v>9</v>
      </c>
      <c r="E2" s="1">
        <v>2.0</v>
      </c>
    </row>
    <row r="3">
      <c r="B3" s="1" t="s">
        <v>14</v>
      </c>
      <c r="C3" s="1">
        <v>3.0</v>
      </c>
      <c r="D3" s="1" t="s">
        <v>19</v>
      </c>
      <c r="E3" s="1">
        <v>1.0</v>
      </c>
    </row>
    <row r="4">
      <c r="B4" s="1" t="s">
        <v>11</v>
      </c>
      <c r="C4" s="1">
        <v>3.0</v>
      </c>
      <c r="D4" s="1" t="s">
        <v>37</v>
      </c>
      <c r="E4" s="1">
        <v>1.0</v>
      </c>
    </row>
    <row r="5">
      <c r="B5" s="1" t="s">
        <v>25</v>
      </c>
      <c r="C5" s="1">
        <v>1.0</v>
      </c>
      <c r="D5" s="1" t="s">
        <v>23</v>
      </c>
      <c r="E5" s="1">
        <v>3.0</v>
      </c>
    </row>
    <row r="6">
      <c r="B6" s="1" t="s">
        <v>8</v>
      </c>
      <c r="C6" s="1">
        <v>1.0</v>
      </c>
      <c r="D6" s="1" t="s">
        <v>24</v>
      </c>
      <c r="E6" s="1">
        <v>1.0</v>
      </c>
    </row>
    <row r="7">
      <c r="B7" s="5"/>
      <c r="D7" s="1" t="s">
        <v>65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9</v>
      </c>
      <c r="D12" s="5" t="str">
        <f>IF(E12 &gt; C12, "W", IF(E12 &lt; C12, "L", "D"))
</f>
        <v>L</v>
      </c>
      <c r="E12" s="4">
        <f>sum(E2:E11)</f>
        <v>8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White,OG,Jacob,Ben Novak,James,Sinan,Dan,Sean,Marcus"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11</v>
      </c>
      <c r="C2" s="1">
        <v>3.0</v>
      </c>
      <c r="D2" s="1" t="s">
        <v>17</v>
      </c>
      <c r="E2" s="1">
        <v>4.0</v>
      </c>
    </row>
    <row r="3">
      <c r="B3" s="1" t="s">
        <v>37</v>
      </c>
      <c r="C3" s="1">
        <v>1.0</v>
      </c>
      <c r="D3" s="1" t="s">
        <v>15</v>
      </c>
      <c r="E3" s="1">
        <v>2.0</v>
      </c>
    </row>
    <row r="4">
      <c r="B4" s="1" t="s">
        <v>16</v>
      </c>
      <c r="C4" s="1">
        <v>3.0</v>
      </c>
      <c r="D4" s="1" t="s">
        <v>8</v>
      </c>
      <c r="E4" s="1"/>
    </row>
    <row r="5">
      <c r="B5" s="1" t="s">
        <v>27</v>
      </c>
      <c r="C5" s="1">
        <v>2.0</v>
      </c>
      <c r="D5" s="1" t="s">
        <v>18</v>
      </c>
      <c r="E5" s="1"/>
    </row>
    <row r="6">
      <c r="B6" s="1" t="s">
        <v>24</v>
      </c>
      <c r="C6" s="1">
        <v>1.0</v>
      </c>
      <c r="D6" s="1" t="s">
        <v>13</v>
      </c>
      <c r="E6" s="1"/>
    </row>
    <row r="7">
      <c r="B7" s="1" t="s">
        <v>66</v>
      </c>
      <c r="D7" s="1" t="s">
        <v>9</v>
      </c>
    </row>
    <row r="8">
      <c r="B8" s="1" t="s">
        <v>19</v>
      </c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6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White,OG,Jacob,Ben Novak,James,Sinan,Dan,Sean"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4.0</v>
      </c>
      <c r="D2" s="1" t="s">
        <v>11</v>
      </c>
      <c r="E2" s="1">
        <v>2.0</v>
      </c>
    </row>
    <row r="3">
      <c r="B3" s="1" t="s">
        <v>14</v>
      </c>
      <c r="C3" s="1">
        <v>1.0</v>
      </c>
      <c r="D3" s="1" t="s">
        <v>9</v>
      </c>
      <c r="E3" s="1">
        <v>4.0</v>
      </c>
    </row>
    <row r="4">
      <c r="B4" s="1" t="s">
        <v>18</v>
      </c>
      <c r="C4" s="1">
        <v>2.0</v>
      </c>
      <c r="D4" s="1" t="s">
        <v>17</v>
      </c>
      <c r="E4" s="1">
        <v>2.0</v>
      </c>
    </row>
    <row r="5">
      <c r="B5" s="1" t="s">
        <v>16</v>
      </c>
      <c r="C5" s="1">
        <v>1.0</v>
      </c>
      <c r="D5" s="1" t="s">
        <v>8</v>
      </c>
      <c r="E5" s="1">
        <v>1.0</v>
      </c>
    </row>
    <row r="6">
      <c r="B6" s="1" t="s">
        <v>37</v>
      </c>
      <c r="C6" s="1">
        <v>1.0</v>
      </c>
      <c r="D6" s="1" t="s">
        <v>37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9</v>
      </c>
      <c r="D12" s="5" t="str">
        <f>IF(E12 &gt; C12, "W", IF(E12 &lt; C12, "L", "D"))
</f>
        <v>W</v>
      </c>
      <c r="E12" s="4">
        <f>sum(E2:E11)</f>
        <v>10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White,OG,Jacob,Ben Novak,James,Sinan,Dan,Sean"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68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19</v>
      </c>
      <c r="C2" s="1">
        <v>1.0</v>
      </c>
      <c r="D2" s="1" t="s">
        <v>18</v>
      </c>
      <c r="E2" s="1">
        <v>2.0</v>
      </c>
    </row>
    <row r="3">
      <c r="B3" s="1" t="s">
        <v>66</v>
      </c>
      <c r="C3" s="1">
        <v>1.0</v>
      </c>
      <c r="D3" s="1" t="s">
        <v>14</v>
      </c>
      <c r="E3" s="1">
        <v>3.0</v>
      </c>
    </row>
    <row r="4">
      <c r="B4" s="1" t="s">
        <v>17</v>
      </c>
      <c r="C4" s="1">
        <v>1.0</v>
      </c>
      <c r="D4" s="1" t="s">
        <v>25</v>
      </c>
      <c r="E4" s="1">
        <v>1.0</v>
      </c>
    </row>
    <row r="5">
      <c r="B5" s="1" t="s">
        <v>13</v>
      </c>
      <c r="D5" s="1" t="s">
        <v>9</v>
      </c>
    </row>
    <row r="6">
      <c r="B6" s="1" t="s">
        <v>11</v>
      </c>
      <c r="D6" s="1" t="s">
        <v>8</v>
      </c>
    </row>
    <row r="7">
      <c r="B7" s="1" t="s">
        <v>27</v>
      </c>
      <c r="D7" s="1" t="s">
        <v>24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3</v>
      </c>
      <c r="D12" s="5" t="str">
        <f>IF(E12 &gt; C12, "W", IF(E12 &lt; C12, "L", "D"))
</f>
        <v>W</v>
      </c>
      <c r="E12" s="4">
        <f>sum(E2:E11)</f>
        <v>6</v>
      </c>
      <c r="F12" s="1" t="s">
        <v>69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11</v>
      </c>
      <c r="C2" s="1">
        <v>1.0</v>
      </c>
      <c r="D2" s="1" t="s">
        <v>14</v>
      </c>
      <c r="E2" s="1">
        <v>2.0</v>
      </c>
    </row>
    <row r="3">
      <c r="B3" s="1" t="s">
        <v>9</v>
      </c>
      <c r="C3" s="1">
        <v>6.0</v>
      </c>
      <c r="D3" s="1" t="s">
        <v>16</v>
      </c>
      <c r="E3" s="1">
        <v>4.0</v>
      </c>
    </row>
    <row r="4">
      <c r="B4" s="1" t="s">
        <v>17</v>
      </c>
      <c r="C4" s="1">
        <v>2.0</v>
      </c>
      <c r="D4" s="1" t="s">
        <v>8</v>
      </c>
      <c r="E4" s="1">
        <v>3.0</v>
      </c>
    </row>
    <row r="5">
      <c r="B5" s="1" t="s">
        <v>13</v>
      </c>
      <c r="C5" s="1">
        <v>1.0</v>
      </c>
      <c r="D5" s="1" t="s">
        <v>15</v>
      </c>
      <c r="E5" s="1">
        <v>5.0</v>
      </c>
    </row>
    <row r="6">
      <c r="B6" s="1" t="s">
        <v>8</v>
      </c>
      <c r="D6" s="1" t="s">
        <v>37</v>
      </c>
      <c r="E6" s="1">
        <v>2.0</v>
      </c>
    </row>
    <row r="7">
      <c r="B7" s="1" t="s">
        <v>25</v>
      </c>
      <c r="D7" s="1" t="s">
        <v>13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10</v>
      </c>
      <c r="D12" s="5" t="str">
        <f>IF(E12 &gt; C12, "W", IF(E12 &lt; C12, "L", "D"))
</f>
        <v>W</v>
      </c>
      <c r="E12" s="4">
        <f>sum(E2:E11)</f>
        <v>16</v>
      </c>
      <c r="F12" s="1" t="s">
        <v>45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24</v>
      </c>
      <c r="C2" s="1">
        <v>2.0</v>
      </c>
      <c r="D2" s="1" t="s">
        <v>66</v>
      </c>
      <c r="E2" s="1">
        <v>2.0</v>
      </c>
    </row>
    <row r="3">
      <c r="B3" s="1" t="s">
        <v>19</v>
      </c>
      <c r="D3" s="1" t="s">
        <v>18</v>
      </c>
      <c r="E3" s="1">
        <v>3.0</v>
      </c>
    </row>
    <row r="4">
      <c r="B4" s="1" t="s">
        <v>15</v>
      </c>
      <c r="C4" s="1">
        <v>5.0</v>
      </c>
      <c r="D4" s="1" t="s">
        <v>13</v>
      </c>
    </row>
    <row r="5">
      <c r="B5" s="1" t="s">
        <v>8</v>
      </c>
      <c r="C5" s="1">
        <v>2.0</v>
      </c>
      <c r="D5" s="1" t="s">
        <v>9</v>
      </c>
      <c r="E5" s="1">
        <v>2.0</v>
      </c>
    </row>
    <row r="6">
      <c r="B6" s="1" t="s">
        <v>72</v>
      </c>
      <c r="C6" s="1">
        <v>1.0</v>
      </c>
      <c r="D6" s="1" t="s">
        <v>17</v>
      </c>
      <c r="E6" s="1">
        <v>2.0</v>
      </c>
    </row>
    <row r="7">
      <c r="B7" s="1" t="s">
        <v>16</v>
      </c>
      <c r="C7" s="1">
        <v>1.0</v>
      </c>
      <c r="D7" s="5"/>
    </row>
    <row r="8">
      <c r="B8" s="5"/>
      <c r="D8" s="5"/>
    </row>
    <row r="9">
      <c r="B9" s="5"/>
      <c r="D9" s="5"/>
    </row>
    <row r="11">
      <c r="A11" s="2" t="s">
        <v>26</v>
      </c>
      <c r="B11" s="5" t="str">
        <f>IF(C11 &gt; E11, "W", IF(C11 &lt; E11, "L", "D"))
</f>
        <v>W</v>
      </c>
      <c r="C11" s="4">
        <f>SUM(C2:C10)</f>
        <v>11</v>
      </c>
      <c r="D11" s="5" t="str">
        <f>IF(E11 &gt; C11, "W", IF(E11 &lt; C11, "L", "D"))
</f>
        <v>L</v>
      </c>
      <c r="E11" s="4">
        <f>sum(E2:E10)</f>
        <v>9</v>
      </c>
      <c r="F11" s="1" t="s">
        <v>45</v>
      </c>
    </row>
  </sheetData>
  <dataValidations>
    <dataValidation type="list" allowBlank="1" showErrorMessage="1" sqref="B2:B8 D2:D8">
      <formula1>"Jez,Kempy,Nairn,Ben,Bill,Char,Connor,Corin,Crell,Dave,Ewan,Gman,Harry,Jamal,Jan,Jay,Joe,Joel,Jules,Karun,Leo,LG,Luke,Nik,Ram,Steve,Touwa,Will Mac,Will White,OG,Sinan"</formula1>
    </dataValidation>
    <dataValidation type="list" allowBlank="1" showErrorMessage="1" sqref="B9 D9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11</v>
      </c>
      <c r="C2" s="1">
        <v>6.0</v>
      </c>
      <c r="D2" s="1" t="s">
        <v>15</v>
      </c>
      <c r="E2" s="1">
        <v>5.0</v>
      </c>
    </row>
    <row r="3">
      <c r="B3" s="1" t="s">
        <v>18</v>
      </c>
      <c r="C3" s="1">
        <v>1.0</v>
      </c>
      <c r="D3" s="1" t="s">
        <v>72</v>
      </c>
      <c r="E3" s="1">
        <v>2.0</v>
      </c>
    </row>
    <row r="4">
      <c r="B4" s="1" t="s">
        <v>19</v>
      </c>
      <c r="C4" s="1">
        <v>3.0</v>
      </c>
      <c r="D4" s="1" t="s">
        <v>37</v>
      </c>
      <c r="E4" s="1">
        <v>1.0</v>
      </c>
    </row>
    <row r="5">
      <c r="B5" s="1" t="s">
        <v>13</v>
      </c>
      <c r="C5" s="1">
        <v>1.0</v>
      </c>
      <c r="D5" s="5"/>
    </row>
    <row r="6">
      <c r="B6" s="1" t="s">
        <v>16</v>
      </c>
      <c r="C6" s="1">
        <v>2.0</v>
      </c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13</v>
      </c>
      <c r="D12" s="5" t="str">
        <f>IF(E12 &gt; C12, "W", IF(E12 &lt; C12, "L", "D"))
</f>
        <v>L</v>
      </c>
      <c r="E12" s="4">
        <f>sum(E2:E11)</f>
        <v>8</v>
      </c>
      <c r="F12" s="1" t="s">
        <v>75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White,OG,Sinan"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4.0</v>
      </c>
      <c r="D2" s="1" t="s">
        <v>14</v>
      </c>
      <c r="E2" s="1">
        <v>3.0</v>
      </c>
    </row>
    <row r="3">
      <c r="B3" s="1" t="s">
        <v>66</v>
      </c>
      <c r="C3" s="1">
        <v>1.0</v>
      </c>
      <c r="D3" s="1" t="s">
        <v>72</v>
      </c>
      <c r="E3" s="1">
        <v>1.0</v>
      </c>
    </row>
    <row r="4">
      <c r="B4" s="1" t="s">
        <v>11</v>
      </c>
      <c r="D4" s="1" t="s">
        <v>18</v>
      </c>
      <c r="E4" s="1">
        <v>2.0</v>
      </c>
    </row>
    <row r="5">
      <c r="B5" s="1" t="s">
        <v>19</v>
      </c>
      <c r="D5" s="1" t="s">
        <v>16</v>
      </c>
      <c r="E5" s="1">
        <v>1.0</v>
      </c>
    </row>
    <row r="6">
      <c r="B6" s="1" t="s">
        <v>8</v>
      </c>
      <c r="D6" s="1" t="s">
        <v>25</v>
      </c>
      <c r="E6" s="1">
        <v>2.0</v>
      </c>
    </row>
    <row r="7">
      <c r="B7" s="1" t="s">
        <v>13</v>
      </c>
      <c r="D7" s="1" t="s">
        <v>37</v>
      </c>
      <c r="E7" s="1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5</v>
      </c>
      <c r="D12" s="5" t="str">
        <f>IF(E12 &gt; C12, "W", IF(E12 &lt; C12, "L", "D"))
</f>
        <v>W</v>
      </c>
      <c r="E12" s="4">
        <f>sum(E2:E11)</f>
        <v>10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White,OG,Sinan"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76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16</v>
      </c>
      <c r="C2" s="1">
        <v>1.0</v>
      </c>
      <c r="D2" s="1" t="s">
        <v>18</v>
      </c>
      <c r="E2" s="1">
        <v>2.0</v>
      </c>
    </row>
    <row r="3">
      <c r="B3" s="1" t="s">
        <v>19</v>
      </c>
      <c r="C3" s="1">
        <v>2.0</v>
      </c>
      <c r="D3" s="1" t="s">
        <v>13</v>
      </c>
      <c r="E3" s="1">
        <v>4.0</v>
      </c>
    </row>
    <row r="4">
      <c r="B4" s="1" t="s">
        <v>15</v>
      </c>
      <c r="C4" s="1">
        <v>5.0</v>
      </c>
      <c r="D4" s="1" t="s">
        <v>25</v>
      </c>
      <c r="E4" s="1">
        <v>3.0</v>
      </c>
    </row>
    <row r="5">
      <c r="B5" s="1" t="s">
        <v>17</v>
      </c>
      <c r="C5" s="1">
        <v>2.0</v>
      </c>
      <c r="D5" s="1" t="s">
        <v>14</v>
      </c>
      <c r="E5" s="1">
        <v>2.0</v>
      </c>
    </row>
    <row r="6">
      <c r="B6" s="1" t="s">
        <v>8</v>
      </c>
      <c r="C6" s="1">
        <v>1.0</v>
      </c>
      <c r="D6" s="1" t="s">
        <v>66</v>
      </c>
      <c r="E6" s="1">
        <v>4.0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11</v>
      </c>
      <c r="D12" s="5" t="str">
        <f>IF(E12 &gt; C12, "W", IF(E12 &lt; C12, "L", "D"))
</f>
        <v>W</v>
      </c>
      <c r="E12" s="4">
        <f>sum(E2:E11)</f>
        <v>15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77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3.0</v>
      </c>
      <c r="D2" s="1" t="s">
        <v>22</v>
      </c>
      <c r="E2" s="1">
        <v>1.0</v>
      </c>
    </row>
    <row r="3">
      <c r="B3" s="1" t="s">
        <v>19</v>
      </c>
      <c r="D3" s="1" t="s">
        <v>15</v>
      </c>
      <c r="E3" s="1">
        <v>3.0</v>
      </c>
    </row>
    <row r="4">
      <c r="B4" s="1" t="s">
        <v>13</v>
      </c>
      <c r="C4" s="1">
        <v>1.0</v>
      </c>
      <c r="D4" s="1" t="s">
        <v>66</v>
      </c>
    </row>
    <row r="5">
      <c r="B5" s="1" t="s">
        <v>14</v>
      </c>
      <c r="C5" s="1">
        <v>1.0</v>
      </c>
      <c r="D5" s="1" t="s">
        <v>18</v>
      </c>
      <c r="E5" s="1">
        <v>1.0</v>
      </c>
    </row>
    <row r="6">
      <c r="B6" s="1" t="s">
        <v>20</v>
      </c>
      <c r="C6" s="1">
        <v>1.0</v>
      </c>
      <c r="D6" s="1" t="s">
        <v>8</v>
      </c>
      <c r="E6" s="1">
        <v>2.0</v>
      </c>
    </row>
    <row r="7">
      <c r="B7" s="1" t="s">
        <v>11</v>
      </c>
      <c r="D7" s="1" t="s">
        <v>16</v>
      </c>
    </row>
    <row r="8">
      <c r="B8" s="5"/>
      <c r="D8" s="1" t="s">
        <v>37</v>
      </c>
      <c r="E8" s="1">
        <v>2.0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6</v>
      </c>
      <c r="D12" s="5" t="str">
        <f>IF(E12 &gt; C12, "W", IF(E12 &lt; C12, "L", "D"))
</f>
        <v>W</v>
      </c>
      <c r="E12" s="4">
        <f>sum(E2:E11)</f>
        <v>9</v>
      </c>
      <c r="F12" s="1" t="s">
        <v>78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White,OG,Jacob"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8.0</v>
      </c>
      <c r="D2" s="1" t="s">
        <v>37</v>
      </c>
      <c r="E2" s="1">
        <v>3.0</v>
      </c>
    </row>
    <row r="3">
      <c r="B3" s="1" t="s">
        <v>17</v>
      </c>
      <c r="C3" s="1">
        <v>1.0</v>
      </c>
      <c r="D3" s="1" t="s">
        <v>21</v>
      </c>
      <c r="E3" s="1">
        <v>2.0</v>
      </c>
    </row>
    <row r="4">
      <c r="B4" s="1" t="s">
        <v>65</v>
      </c>
      <c r="C4" s="1">
        <v>1.0</v>
      </c>
      <c r="D4" s="1" t="s">
        <v>11</v>
      </c>
      <c r="E4" s="1">
        <v>2.0</v>
      </c>
    </row>
    <row r="5">
      <c r="B5" s="1" t="s">
        <v>14</v>
      </c>
      <c r="C5" s="1">
        <v>2.0</v>
      </c>
      <c r="D5" s="1" t="s">
        <v>19</v>
      </c>
      <c r="E5" s="1">
        <v>2.0</v>
      </c>
    </row>
    <row r="6">
      <c r="B6" s="1" t="s">
        <v>37</v>
      </c>
      <c r="C6" s="1">
        <v>1.0</v>
      </c>
      <c r="D6" s="1" t="s">
        <v>25</v>
      </c>
      <c r="E6" s="1">
        <v>1.0</v>
      </c>
    </row>
    <row r="7">
      <c r="B7" s="1" t="s">
        <v>20</v>
      </c>
      <c r="C7" s="1">
        <v>1.0</v>
      </c>
      <c r="D7" s="1" t="s">
        <v>66</v>
      </c>
    </row>
    <row r="8">
      <c r="B8" s="5"/>
      <c r="D8" s="1" t="s">
        <v>24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14</v>
      </c>
      <c r="D12" s="5" t="str">
        <f>IF(E12 &gt; C12, "W", IF(E12 &lt; C12, "L", "D"))
</f>
        <v>L</v>
      </c>
      <c r="E12" s="4">
        <f>sum(E2:E11)</f>
        <v>10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80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20</v>
      </c>
      <c r="C2" s="1">
        <v>8.0</v>
      </c>
      <c r="D2" s="1" t="s">
        <v>15</v>
      </c>
      <c r="E2" s="1">
        <v>1.0</v>
      </c>
    </row>
    <row r="3">
      <c r="B3" s="1" t="s">
        <v>21</v>
      </c>
      <c r="C3" s="1">
        <v>1.0</v>
      </c>
      <c r="D3" s="1" t="s">
        <v>16</v>
      </c>
    </row>
    <row r="4">
      <c r="B4" s="1" t="s">
        <v>18</v>
      </c>
      <c r="C4" s="1">
        <v>1.0</v>
      </c>
      <c r="D4" s="1" t="s">
        <v>11</v>
      </c>
      <c r="E4" s="1">
        <v>1.0</v>
      </c>
    </row>
    <row r="5">
      <c r="B5" s="1" t="s">
        <v>19</v>
      </c>
      <c r="C5" s="1"/>
      <c r="D5" s="1" t="s">
        <v>8</v>
      </c>
    </row>
    <row r="6">
      <c r="B6" s="1" t="s">
        <v>81</v>
      </c>
      <c r="D6" s="1" t="s">
        <v>48</v>
      </c>
      <c r="E6" s="1">
        <v>1.0</v>
      </c>
    </row>
    <row r="7">
      <c r="B7" s="1" t="s">
        <v>72</v>
      </c>
      <c r="C7" s="1">
        <v>1.0</v>
      </c>
      <c r="D7" s="1" t="s">
        <v>23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11</v>
      </c>
      <c r="D12" s="5" t="str">
        <f>IF(E12 &gt; C12, "W", IF(E12 &lt; C12, "L", "D"))
</f>
        <v>L</v>
      </c>
      <c r="E12" s="4">
        <f>sum(E2:E11)</f>
        <v>3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White,OG,Marcus,Sinan"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3.0</v>
      </c>
      <c r="D2" s="1" t="s">
        <v>15</v>
      </c>
      <c r="E2" s="1">
        <v>1.0</v>
      </c>
    </row>
    <row r="3">
      <c r="B3" s="1" t="s">
        <v>11</v>
      </c>
      <c r="C3" s="1">
        <v>2.0</v>
      </c>
      <c r="D3" s="1" t="s">
        <v>9</v>
      </c>
      <c r="E3" s="1">
        <v>1.0</v>
      </c>
    </row>
    <row r="4">
      <c r="B4" s="1" t="s">
        <v>14</v>
      </c>
      <c r="C4" s="1">
        <v>3.0</v>
      </c>
      <c r="D4" s="1" t="s">
        <v>20</v>
      </c>
      <c r="E4" s="1">
        <v>1.0</v>
      </c>
    </row>
    <row r="5">
      <c r="B5" s="1" t="s">
        <v>13</v>
      </c>
      <c r="D5" s="1" t="s">
        <v>18</v>
      </c>
    </row>
    <row r="6">
      <c r="B6" s="1" t="s">
        <v>18</v>
      </c>
      <c r="D6" s="1" t="s">
        <v>19</v>
      </c>
    </row>
    <row r="7">
      <c r="A7" s="1" t="s">
        <v>72</v>
      </c>
      <c r="B7" s="5"/>
      <c r="D7" s="1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8</v>
      </c>
      <c r="D12" s="5" t="str">
        <f>IF(E12 &gt; C12, "W", IF(E12 &lt; C12, "L", "D"))
</f>
        <v>L</v>
      </c>
      <c r="E12" s="4">
        <f>sum(E2:E11)</f>
        <v>3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14</v>
      </c>
      <c r="E2" s="1">
        <v>3.0</v>
      </c>
    </row>
    <row r="3">
      <c r="B3" s="1" t="s">
        <v>16</v>
      </c>
      <c r="C3" s="1">
        <v>1.0</v>
      </c>
      <c r="D3" s="1" t="s">
        <v>11</v>
      </c>
      <c r="E3" s="1">
        <v>2.0</v>
      </c>
    </row>
    <row r="4">
      <c r="B4" s="1" t="s">
        <v>13</v>
      </c>
      <c r="D4" s="1" t="s">
        <v>17</v>
      </c>
      <c r="E4" s="1">
        <v>2.0</v>
      </c>
    </row>
    <row r="5">
      <c r="B5" s="1" t="s">
        <v>15</v>
      </c>
      <c r="C5" s="1">
        <v>2.0</v>
      </c>
      <c r="D5" s="1" t="s">
        <v>27</v>
      </c>
    </row>
    <row r="6">
      <c r="B6" s="1" t="s">
        <v>20</v>
      </c>
      <c r="C6" s="1">
        <v>1.0</v>
      </c>
      <c r="D6" s="1" t="s">
        <v>19</v>
      </c>
    </row>
    <row r="7">
      <c r="B7" s="1" t="s">
        <v>8</v>
      </c>
      <c r="D7" s="1" t="s">
        <v>24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4</v>
      </c>
      <c r="D12" s="5" t="str">
        <f>IF(E12 &gt; C12, "W", IF(E12 &lt; C12, "L", "D"))
</f>
        <v>W</v>
      </c>
      <c r="E12" s="4">
        <f>sum(E2:E11)</f>
        <v>7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1.0</v>
      </c>
      <c r="D2" s="1" t="s">
        <v>9</v>
      </c>
      <c r="E2" s="1">
        <v>1.0</v>
      </c>
    </row>
    <row r="3">
      <c r="B3" s="1" t="s">
        <v>16</v>
      </c>
      <c r="C3" s="1">
        <v>1.0</v>
      </c>
      <c r="D3" s="1" t="s">
        <v>11</v>
      </c>
      <c r="E3" s="1">
        <v>2.0</v>
      </c>
    </row>
    <row r="4">
      <c r="B4" s="1" t="s">
        <v>85</v>
      </c>
      <c r="C4" s="1">
        <v>1.0</v>
      </c>
      <c r="D4" s="1" t="s">
        <v>8</v>
      </c>
      <c r="E4" s="1">
        <v>2.0</v>
      </c>
    </row>
    <row r="5">
      <c r="B5" s="1" t="s">
        <v>20</v>
      </c>
      <c r="C5" s="1">
        <v>3.0</v>
      </c>
      <c r="D5" s="1" t="s">
        <v>24</v>
      </c>
      <c r="E5" s="1">
        <v>1.0</v>
      </c>
    </row>
    <row r="6">
      <c r="B6" s="1" t="s">
        <v>14</v>
      </c>
      <c r="C6" s="1">
        <v>1.0</v>
      </c>
      <c r="D6" s="1" t="s">
        <v>65</v>
      </c>
    </row>
    <row r="7">
      <c r="B7" s="5"/>
      <c r="D7" s="1" t="s">
        <v>18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7</v>
      </c>
      <c r="D12" s="5" t="str">
        <f>IF(E12 &gt; C12, "W", IF(E12 &lt; C12, "L", "D"))
</f>
        <v>L</v>
      </c>
      <c r="E12" s="4">
        <f>sum(E2:E11)</f>
        <v>6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15</v>
      </c>
      <c r="C2" s="1">
        <v>1.0</v>
      </c>
      <c r="D2" s="1" t="s">
        <v>14</v>
      </c>
      <c r="E2" s="1">
        <v>1.0</v>
      </c>
    </row>
    <row r="3">
      <c r="B3" s="1" t="s">
        <v>9</v>
      </c>
      <c r="C3" s="1">
        <v>2.0</v>
      </c>
      <c r="D3" s="1" t="s">
        <v>8</v>
      </c>
      <c r="E3" s="1">
        <v>1.0</v>
      </c>
    </row>
    <row r="4">
      <c r="B4" s="1" t="s">
        <v>16</v>
      </c>
      <c r="D4" s="1" t="s">
        <v>19</v>
      </c>
      <c r="E4" s="1">
        <v>2.0</v>
      </c>
    </row>
    <row r="5">
      <c r="B5" s="1" t="s">
        <v>21</v>
      </c>
      <c r="D5" s="1" t="s">
        <v>17</v>
      </c>
      <c r="E5" s="1">
        <v>2.0</v>
      </c>
    </row>
    <row r="6">
      <c r="B6" s="1" t="s">
        <v>66</v>
      </c>
      <c r="C6" s="1">
        <v>2.0</v>
      </c>
      <c r="D6" s="1" t="s">
        <v>20</v>
      </c>
      <c r="E6" s="1">
        <v>2.0</v>
      </c>
    </row>
    <row r="7">
      <c r="B7" s="1" t="s">
        <v>65</v>
      </c>
      <c r="D7" s="1" t="s">
        <v>24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5</v>
      </c>
      <c r="D12" s="5" t="str">
        <f>IF(E12 &gt; C12, "W", IF(E12 &lt; C12, "L", "D"))
</f>
        <v>W</v>
      </c>
      <c r="E12" s="4">
        <f>sum(E2:E11)</f>
        <v>8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87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14</v>
      </c>
      <c r="C2" s="1">
        <v>2.0</v>
      </c>
      <c r="D2" s="1" t="s">
        <v>15</v>
      </c>
      <c r="E2" s="1">
        <v>4.0</v>
      </c>
    </row>
    <row r="3">
      <c r="B3" s="1" t="s">
        <v>20</v>
      </c>
      <c r="C3" s="1">
        <v>6.0</v>
      </c>
      <c r="D3" s="1" t="s">
        <v>16</v>
      </c>
      <c r="E3" s="1">
        <v>1.0</v>
      </c>
    </row>
    <row r="4">
      <c r="B4" s="1" t="s">
        <v>21</v>
      </c>
      <c r="C4" s="1">
        <v>2.0</v>
      </c>
      <c r="D4" s="1" t="s">
        <v>81</v>
      </c>
      <c r="E4" s="1">
        <v>1.0</v>
      </c>
    </row>
    <row r="5">
      <c r="B5" s="1" t="s">
        <v>17</v>
      </c>
      <c r="C5" s="1">
        <v>3.0</v>
      </c>
      <c r="D5" s="1" t="s">
        <v>11</v>
      </c>
      <c r="E5" s="1">
        <v>1.0</v>
      </c>
    </row>
    <row r="6">
      <c r="B6" s="1" t="s">
        <v>13</v>
      </c>
      <c r="C6" s="1">
        <v>1.0</v>
      </c>
      <c r="D6" s="1" t="s">
        <v>27</v>
      </c>
    </row>
    <row r="7">
      <c r="B7" s="1"/>
      <c r="D7" s="1" t="s">
        <v>66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14</v>
      </c>
      <c r="D12" s="5" t="str">
        <f>IF(E12 &gt; C12, "W", IF(E12 &lt; C12, "L", "D"))
</f>
        <v>L</v>
      </c>
      <c r="E12" s="4">
        <f>sum(E2:E11)</f>
        <v>7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5.0</v>
      </c>
      <c r="D2" s="1" t="s">
        <v>22</v>
      </c>
      <c r="E2" s="1">
        <v>3.0</v>
      </c>
    </row>
    <row r="3">
      <c r="B3" s="1" t="s">
        <v>15</v>
      </c>
      <c r="C3" s="1">
        <v>5.0</v>
      </c>
      <c r="D3" s="1" t="s">
        <v>23</v>
      </c>
      <c r="E3" s="1">
        <v>1.0</v>
      </c>
    </row>
    <row r="4">
      <c r="B4" s="1" t="s">
        <v>18</v>
      </c>
      <c r="C4" s="1">
        <v>4.0</v>
      </c>
      <c r="D4" s="1" t="s">
        <v>11</v>
      </c>
      <c r="E4" s="1">
        <v>2.0</v>
      </c>
    </row>
    <row r="5">
      <c r="B5" s="1" t="s">
        <v>9</v>
      </c>
      <c r="D5" s="1" t="s">
        <v>8</v>
      </c>
      <c r="E5" s="1"/>
    </row>
    <row r="6">
      <c r="B6" s="1" t="s">
        <v>13</v>
      </c>
      <c r="D6" s="1" t="s">
        <v>19</v>
      </c>
      <c r="E6" s="1"/>
    </row>
    <row r="7">
      <c r="B7" s="1"/>
      <c r="D7" s="1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14</v>
      </c>
      <c r="D12" s="5" t="str">
        <f>IF(E12 &gt; C12, "W", IF(E12 &lt; C12, "L", "D"))
</f>
        <v>L</v>
      </c>
      <c r="E12" s="4">
        <f>sum(E2:E11)</f>
        <v>6</v>
      </c>
      <c r="F12" s="1" t="s">
        <v>91</v>
      </c>
    </row>
  </sheetData>
  <dataValidations>
    <dataValidation type="list" allowBlank="1" showErrorMessage="1" sqref="B7:B10 D7:D10">
      <formula1>"Jez,Kempy,Nairn,Ben,Bill,Char,Connor,Corin,Crell,Dave,Ewan,Gman,Harry,Jamal,Jan,Jay,Joe,Joel,Jules,Karun,Leo,LG,Luke,Nik,Ram,Steve,Touwa,Will Mac,Will White,OG,Dan"</formula1>
    </dataValidation>
    <dataValidation type="list" allowBlank="1" showErrorMessage="1" sqref="B2:B6 D2:D6">
      <formula1>"Jez,Kempy,Nairn,Ben,Bill,Char,Connor,Corin,Crell,Dave,Ewan,Gman,Harry,Jamal,Jan,Jay,Joe,Joel,Jules,Karun,Leo,LG,Luke,Nik,Ram,Steve,Touwa,Will Mac,Will White,OG,Jacob,Ben Novak,James,Sinan,Dan,Sean,Marcus"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25</v>
      </c>
      <c r="E2" s="1">
        <v>3.0</v>
      </c>
    </row>
    <row r="3">
      <c r="B3" s="1" t="s">
        <v>48</v>
      </c>
      <c r="D3" s="1" t="s">
        <v>81</v>
      </c>
      <c r="E3" s="1">
        <v>1.0</v>
      </c>
    </row>
    <row r="4">
      <c r="B4" s="1" t="s">
        <v>16</v>
      </c>
      <c r="C4" s="1">
        <v>1.0</v>
      </c>
      <c r="D4" s="1" t="s">
        <v>15</v>
      </c>
      <c r="E4" s="1">
        <v>1.0</v>
      </c>
    </row>
    <row r="5">
      <c r="B5" s="1" t="s">
        <v>18</v>
      </c>
      <c r="C5" s="1">
        <v>1.0</v>
      </c>
      <c r="D5" s="1" t="s">
        <v>9</v>
      </c>
      <c r="E5" s="1">
        <v>4.0</v>
      </c>
    </row>
    <row r="6">
      <c r="B6" s="1" t="s">
        <v>20</v>
      </c>
      <c r="C6" s="1">
        <v>4.0</v>
      </c>
      <c r="D6" s="1" t="s">
        <v>17</v>
      </c>
      <c r="E6" s="1">
        <v>3.0</v>
      </c>
    </row>
    <row r="7">
      <c r="B7" s="1" t="s">
        <v>13</v>
      </c>
      <c r="D7" s="1" t="s">
        <v>8</v>
      </c>
    </row>
    <row r="8">
      <c r="B8" s="1" t="s">
        <v>37</v>
      </c>
      <c r="C8" s="1">
        <v>2.0</v>
      </c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8</v>
      </c>
      <c r="D12" s="5" t="str">
        <f>IF(E12 &gt; C12, "W", IF(E12 &lt; C12, "L", "D"))
</f>
        <v>W</v>
      </c>
      <c r="E12" s="4">
        <f>sum(E2:E11)</f>
        <v>12</v>
      </c>
      <c r="F12" s="1" t="s">
        <v>90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14</v>
      </c>
      <c r="E2" s="1">
        <v>2.0</v>
      </c>
    </row>
    <row r="3">
      <c r="B3" s="1" t="s">
        <v>20</v>
      </c>
      <c r="C3" s="1">
        <v>1.0</v>
      </c>
      <c r="D3" s="1" t="s">
        <v>16</v>
      </c>
      <c r="E3" s="1">
        <v>1.0</v>
      </c>
    </row>
    <row r="4">
      <c r="B4" s="1" t="s">
        <v>9</v>
      </c>
      <c r="D4" s="1" t="s">
        <v>24</v>
      </c>
      <c r="E4" s="1">
        <v>1.0</v>
      </c>
    </row>
    <row r="5">
      <c r="B5" s="1" t="s">
        <v>19</v>
      </c>
      <c r="D5" s="1" t="s">
        <v>13</v>
      </c>
    </row>
    <row r="6">
      <c r="B6" s="1" t="s">
        <v>25</v>
      </c>
      <c r="C6" s="1">
        <v>1.0</v>
      </c>
      <c r="D6" s="1" t="s">
        <v>18</v>
      </c>
      <c r="E6" s="1">
        <v>3.0</v>
      </c>
    </row>
    <row r="7">
      <c r="B7" s="1" t="s">
        <v>65</v>
      </c>
      <c r="C7" s="1">
        <v>2.0</v>
      </c>
      <c r="D7" s="1" t="s">
        <v>8</v>
      </c>
    </row>
    <row r="8">
      <c r="B8" s="5"/>
      <c r="D8" s="1" t="s">
        <v>37</v>
      </c>
      <c r="E8" s="1">
        <v>1.0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4</v>
      </c>
      <c r="D12" s="5" t="str">
        <f>IF(E12 &gt; C12, "W", IF(E12 &lt; C12, "L", "D"))
</f>
        <v>W</v>
      </c>
      <c r="E12" s="4">
        <f>sum(E2:E11)</f>
        <v>8</v>
      </c>
      <c r="F12" s="1" t="s">
        <v>91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1.0</v>
      </c>
      <c r="D2" s="1" t="s">
        <v>14</v>
      </c>
      <c r="E2" s="1">
        <v>1.0</v>
      </c>
    </row>
    <row r="3">
      <c r="B3" s="1" t="s">
        <v>11</v>
      </c>
      <c r="C3" s="1">
        <v>2.0</v>
      </c>
      <c r="D3" s="1" t="s">
        <v>20</v>
      </c>
      <c r="E3" s="1">
        <v>3.0</v>
      </c>
    </row>
    <row r="4">
      <c r="B4" s="1" t="s">
        <v>15</v>
      </c>
      <c r="C4" s="1">
        <v>4.0</v>
      </c>
      <c r="D4" s="1" t="s">
        <v>18</v>
      </c>
      <c r="E4" s="1">
        <v>2.0</v>
      </c>
    </row>
    <row r="5">
      <c r="B5" s="1" t="s">
        <v>17</v>
      </c>
      <c r="C5" s="1">
        <v>3.0</v>
      </c>
      <c r="D5" s="1" t="s">
        <v>48</v>
      </c>
      <c r="E5" s="1">
        <v>2.0</v>
      </c>
    </row>
    <row r="6">
      <c r="B6" s="1" t="s">
        <v>9</v>
      </c>
      <c r="C6" s="1">
        <v>3.0</v>
      </c>
      <c r="D6" s="1" t="s">
        <v>81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13</v>
      </c>
      <c r="D12" s="5" t="str">
        <f>IF(E12 &gt; C12, "W", IF(E12 &lt; C12, "L", "D"))
</f>
        <v>L</v>
      </c>
      <c r="E12" s="4">
        <f>sum(E2:E11)</f>
        <v>8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94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15</v>
      </c>
      <c r="E2" s="1">
        <v>5.0</v>
      </c>
    </row>
    <row r="3">
      <c r="B3" s="1" t="s">
        <v>19</v>
      </c>
      <c r="C3" s="1">
        <v>1.0</v>
      </c>
      <c r="D3" s="1" t="s">
        <v>11</v>
      </c>
      <c r="E3" s="1">
        <v>2.0</v>
      </c>
    </row>
    <row r="4">
      <c r="B4" s="1" t="s">
        <v>62</v>
      </c>
      <c r="D4" s="1" t="s">
        <v>13</v>
      </c>
    </row>
    <row r="5">
      <c r="B5" s="1" t="s">
        <v>8</v>
      </c>
      <c r="D5" s="1" t="s">
        <v>65</v>
      </c>
    </row>
    <row r="6">
      <c r="B6" s="1" t="s">
        <v>27</v>
      </c>
      <c r="C6" s="1">
        <v>10.0</v>
      </c>
      <c r="D6" s="1" t="s">
        <v>25</v>
      </c>
    </row>
    <row r="7">
      <c r="B7" s="1" t="s">
        <v>9</v>
      </c>
      <c r="C7" s="1">
        <v>4.0</v>
      </c>
      <c r="D7" s="1" t="s">
        <v>24</v>
      </c>
      <c r="E7" s="1">
        <v>1.0</v>
      </c>
    </row>
    <row r="8">
      <c r="B8" s="5"/>
      <c r="D8" s="1" t="s">
        <v>37</v>
      </c>
      <c r="E8" s="1">
        <v>1.0</v>
      </c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15</v>
      </c>
      <c r="D12" s="5" t="str">
        <f>IF(E12 &gt; C12, "W", IF(E12 &lt; C12, "L", "D"))
</f>
        <v>L</v>
      </c>
      <c r="E12" s="4">
        <f>sum(E2:E11)</f>
        <v>9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White,OG,Sean,Dan"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95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14</v>
      </c>
      <c r="C2" s="1">
        <v>5.0</v>
      </c>
      <c r="D2" s="1" t="s">
        <v>9</v>
      </c>
    </row>
    <row r="3">
      <c r="B3" s="1" t="s">
        <v>21</v>
      </c>
      <c r="C3" s="1">
        <v>1.0</v>
      </c>
      <c r="D3" s="1" t="s">
        <v>15</v>
      </c>
      <c r="E3" s="1">
        <v>4.0</v>
      </c>
    </row>
    <row r="4">
      <c r="B4" s="1" t="s">
        <v>27</v>
      </c>
      <c r="C4" s="1">
        <v>3.0</v>
      </c>
      <c r="D4" s="1" t="s">
        <v>16</v>
      </c>
      <c r="E4" s="1">
        <v>3.0</v>
      </c>
    </row>
    <row r="5">
      <c r="B5" s="1" t="s">
        <v>17</v>
      </c>
      <c r="C5" s="1">
        <v>1.0</v>
      </c>
      <c r="D5" s="1" t="s">
        <v>13</v>
      </c>
      <c r="E5" s="1">
        <v>1.0</v>
      </c>
    </row>
    <row r="6">
      <c r="B6" s="1" t="s">
        <v>41</v>
      </c>
      <c r="D6" s="1" t="s">
        <v>62</v>
      </c>
      <c r="E6" s="1">
        <v>1.0</v>
      </c>
    </row>
    <row r="7">
      <c r="B7" s="5"/>
      <c r="D7" s="1" t="s">
        <v>8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10</v>
      </c>
      <c r="D12" s="5" t="str">
        <f>IF(E12 &gt; C12, "W", IF(E12 &lt; C12, "L", "D"))
</f>
        <v>L</v>
      </c>
      <c r="E12" s="4">
        <f>sum(E2:E11)</f>
        <v>9</v>
      </c>
      <c r="F12" s="1" t="s">
        <v>38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White,OG,Dan,Sean"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96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2.0</v>
      </c>
      <c r="D2" s="1" t="s">
        <v>14</v>
      </c>
      <c r="E2" s="1">
        <v>4.0</v>
      </c>
    </row>
    <row r="3">
      <c r="B3" s="1" t="s">
        <v>19</v>
      </c>
      <c r="C3" s="1">
        <v>1.0</v>
      </c>
      <c r="D3" s="1" t="s">
        <v>16</v>
      </c>
      <c r="E3" s="1">
        <v>2.0</v>
      </c>
    </row>
    <row r="4">
      <c r="B4" s="1" t="s">
        <v>9</v>
      </c>
      <c r="C4" s="1">
        <v>2.0</v>
      </c>
      <c r="D4" s="1" t="s">
        <v>62</v>
      </c>
    </row>
    <row r="5">
      <c r="B5" s="1" t="s">
        <v>27</v>
      </c>
      <c r="C5" s="1">
        <v>6.0</v>
      </c>
      <c r="D5" s="1" t="s">
        <v>17</v>
      </c>
      <c r="E5" s="1">
        <v>2.0</v>
      </c>
    </row>
    <row r="6">
      <c r="B6" s="1" t="s">
        <v>66</v>
      </c>
      <c r="C6" s="1">
        <v>1.0</v>
      </c>
      <c r="D6" s="1" t="s">
        <v>8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12</v>
      </c>
      <c r="D12" s="5" t="str">
        <f>IF(E12 &gt; C12, "W", IF(E12 &lt; C12, "L", "D"))
</f>
        <v>L</v>
      </c>
      <c r="E12" s="4">
        <f>sum(E2:E11)</f>
        <v>9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White,OG,Dan,Sean"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97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3.0</v>
      </c>
      <c r="D2" s="1" t="s">
        <v>20</v>
      </c>
      <c r="E2" s="1">
        <v>1.0</v>
      </c>
    </row>
    <row r="3">
      <c r="B3" s="1" t="s">
        <v>14</v>
      </c>
      <c r="C3" s="1">
        <v>1.0</v>
      </c>
      <c r="D3" s="1" t="s">
        <v>18</v>
      </c>
    </row>
    <row r="4">
      <c r="B4" s="1" t="s">
        <v>17</v>
      </c>
      <c r="C4" s="1">
        <v>1.0</v>
      </c>
      <c r="D4" s="1" t="s">
        <v>19</v>
      </c>
      <c r="E4" s="1">
        <v>3.0</v>
      </c>
    </row>
    <row r="5">
      <c r="B5" s="1" t="s">
        <v>81</v>
      </c>
      <c r="D5" s="1" t="s">
        <v>8</v>
      </c>
    </row>
    <row r="6">
      <c r="B6" s="1" t="s">
        <v>41</v>
      </c>
      <c r="C6" s="1">
        <v>1.0</v>
      </c>
      <c r="D6" s="1" t="s">
        <v>9</v>
      </c>
      <c r="E6" s="1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6</v>
      </c>
      <c r="D12" s="5" t="str">
        <f>IF(E12 &gt; C12, "W", IF(E12 &lt; C12, "L", "D"))
</f>
        <v>L</v>
      </c>
      <c r="E12" s="4">
        <f>sum(E2:E11)</f>
        <v>5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98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C2" s="1">
        <v>4.0</v>
      </c>
      <c r="D2" s="1" t="s">
        <v>14</v>
      </c>
      <c r="E2" s="1">
        <v>2.0</v>
      </c>
    </row>
    <row r="3">
      <c r="B3" s="1" t="s">
        <v>16</v>
      </c>
      <c r="C3" s="1">
        <v>1.0</v>
      </c>
      <c r="D3" s="1" t="s">
        <v>8</v>
      </c>
    </row>
    <row r="4">
      <c r="B4" s="1" t="s">
        <v>19</v>
      </c>
      <c r="D4" s="1" t="s">
        <v>41</v>
      </c>
    </row>
    <row r="5">
      <c r="B5" s="1" t="s">
        <v>18</v>
      </c>
      <c r="C5" s="1">
        <v>4.0</v>
      </c>
      <c r="D5" s="1" t="s">
        <v>9</v>
      </c>
      <c r="E5" s="1">
        <v>1.0</v>
      </c>
    </row>
    <row r="6">
      <c r="B6" s="1" t="s">
        <v>20</v>
      </c>
      <c r="C6" s="1">
        <v>4.0</v>
      </c>
      <c r="D6" s="1" t="s">
        <v>17</v>
      </c>
      <c r="E6" s="1">
        <v>2.0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W</v>
      </c>
      <c r="C12" s="4">
        <f>SUM(C2:C11)</f>
        <v>13</v>
      </c>
      <c r="D12" s="5" t="str">
        <f>IF(E12 &gt; C12, "W", IF(E12 &lt; C12, "L", "D"))
</f>
        <v>L</v>
      </c>
      <c r="E12" s="4">
        <f>sum(E2:E11)</f>
        <v>5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99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 t="s">
        <v>21</v>
      </c>
      <c r="D2" s="1" t="s">
        <v>17</v>
      </c>
      <c r="E2" s="1">
        <v>6.0</v>
      </c>
    </row>
    <row r="3">
      <c r="B3" s="1" t="s">
        <v>14</v>
      </c>
      <c r="C3" s="1">
        <v>2.0</v>
      </c>
      <c r="D3" s="1" t="s">
        <v>18</v>
      </c>
      <c r="E3" s="1">
        <v>2.0</v>
      </c>
    </row>
    <row r="4">
      <c r="B4" s="1" t="s">
        <v>48</v>
      </c>
      <c r="D4" s="1" t="s">
        <v>20</v>
      </c>
      <c r="E4" s="1">
        <v>4.0</v>
      </c>
    </row>
    <row r="5">
      <c r="B5" s="1" t="s">
        <v>19</v>
      </c>
      <c r="C5" s="1">
        <v>2.0</v>
      </c>
      <c r="D5" s="1" t="s">
        <v>15</v>
      </c>
      <c r="E5" s="1">
        <v>1.0</v>
      </c>
    </row>
    <row r="6">
      <c r="B6" s="1" t="s">
        <v>81</v>
      </c>
      <c r="C6" s="1">
        <v>1.0</v>
      </c>
      <c r="D6" s="1" t="s">
        <v>16</v>
      </c>
    </row>
    <row r="7">
      <c r="B7" s="1" t="s">
        <v>100</v>
      </c>
      <c r="C7" s="1">
        <v>1.0</v>
      </c>
      <c r="D7" s="5"/>
    </row>
    <row r="8">
      <c r="B8" s="1" t="s">
        <v>37</v>
      </c>
      <c r="C8" s="1">
        <v>1.0</v>
      </c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L</v>
      </c>
      <c r="C12" s="4">
        <f>SUM(C2:C11)</f>
        <v>7</v>
      </c>
      <c r="D12" s="5" t="str">
        <f>IF(E12 &gt; C12, "W", IF(E12 &lt; C12, "L", "D"))
</f>
        <v>W</v>
      </c>
      <c r="E12" s="4">
        <f>sum(E2:E11)</f>
        <v>13</v>
      </c>
      <c r="F12" s="1" t="s">
        <v>75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White,OG,Bart"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5"/>
      <c r="D2" s="5"/>
    </row>
    <row r="3">
      <c r="B3" s="5"/>
      <c r="D3" s="5"/>
    </row>
    <row r="4">
      <c r="B4" s="5"/>
      <c r="D4" s="5"/>
    </row>
    <row r="5">
      <c r="B5" s="5"/>
      <c r="D5" s="5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0</v>
      </c>
      <c r="D12" s="5" t="str">
        <f>IF(E12 &gt; C12, "W", IF(E12 &lt; C12, "L", "D"))
</f>
        <v>D</v>
      </c>
      <c r="E12" s="4">
        <f>sum(E2:E11)</f>
        <v>0</v>
      </c>
      <c r="F12" s="1" t="s">
        <v>39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102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5"/>
      <c r="D2" s="5"/>
    </row>
    <row r="3">
      <c r="B3" s="5"/>
      <c r="D3" s="5"/>
    </row>
    <row r="4">
      <c r="B4" s="5"/>
      <c r="D4" s="5"/>
    </row>
    <row r="5">
      <c r="B5" s="5"/>
      <c r="D5" s="5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0</v>
      </c>
      <c r="D12" s="5" t="str">
        <f>IF(E12 &gt; C12, "W", IF(E12 &lt; C12, "L", "D"))
</f>
        <v>D</v>
      </c>
      <c r="E12" s="4">
        <f>sum(E2:E11)</f>
        <v>0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103</v>
      </c>
      <c r="B1" s="2" t="s">
        <v>4</v>
      </c>
      <c r="C1" s="2" t="s">
        <v>7</v>
      </c>
      <c r="D1" s="2" t="s">
        <v>10</v>
      </c>
      <c r="E1" s="2" t="s">
        <v>7</v>
      </c>
      <c r="F1" s="2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5"/>
      <c r="D2" s="5"/>
    </row>
    <row r="3">
      <c r="B3" s="5"/>
      <c r="D3" s="5"/>
    </row>
    <row r="4">
      <c r="B4" s="5"/>
      <c r="D4" s="5"/>
    </row>
    <row r="5">
      <c r="B5" s="5"/>
      <c r="D5" s="5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2" t="s">
        <v>26</v>
      </c>
      <c r="B12" s="5" t="str">
        <f>IF(C12 &gt; E12, "W", IF(C12 &lt; E12, "L", "D"))
</f>
        <v>D</v>
      </c>
      <c r="C12" s="4">
        <f>SUM(C2:C11)</f>
        <v>0</v>
      </c>
      <c r="D12" s="5" t="str">
        <f>IF(E12 &gt; C12, "W", IF(E12 &lt; C12, "L", "D"))
</f>
        <v>D</v>
      </c>
      <c r="E12" s="4">
        <f>sum(E2:E11)</f>
        <v>0</v>
      </c>
      <c r="F12" s="1" t="s">
        <v>28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6" max="6" width="8.38"/>
    <col customWidth="1" min="7" max="7" width="29.0"/>
    <col customWidth="1" min="8" max="8" width="19.75"/>
    <col customWidth="1" min="9" max="10" width="20.5"/>
    <col customWidth="1" min="11" max="11" width="20.75"/>
    <col customWidth="1" min="17" max="17" width="15.25"/>
    <col customWidth="1" min="18" max="18" width="17.75"/>
    <col customWidth="1" min="19" max="19" width="14.38"/>
  </cols>
  <sheetData>
    <row r="1">
      <c r="A1" s="2" t="s">
        <v>104</v>
      </c>
      <c r="B1" s="2" t="s">
        <v>5</v>
      </c>
      <c r="C1" s="2" t="s">
        <v>7</v>
      </c>
      <c r="D1" s="2" t="s">
        <v>105</v>
      </c>
      <c r="E1" s="2" t="s">
        <v>106</v>
      </c>
      <c r="F1" s="2" t="s">
        <v>107</v>
      </c>
      <c r="G1" s="2" t="s">
        <v>108</v>
      </c>
      <c r="H1" s="6" t="s">
        <v>109</v>
      </c>
      <c r="I1" s="2" t="s">
        <v>110</v>
      </c>
      <c r="J1" s="6" t="s">
        <v>111</v>
      </c>
      <c r="K1" s="6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 t="s">
        <v>21</v>
      </c>
      <c r="B2" s="5">
        <f t="shared" ref="B2:B10" si="1">countPlayerOccurrences(A2)</f>
        <v>28</v>
      </c>
      <c r="C2" s="5">
        <f t="shared" ref="C2:C34" si="2">sumPlayerGoals(A2)</f>
        <v>52</v>
      </c>
      <c r="D2" s="5">
        <f t="shared" ref="D2:D34" si="3">countPlayerWins(A2)
</f>
        <v>16</v>
      </c>
      <c r="E2" s="5">
        <f t="shared" ref="E2:E34" si="4">countPlayerDraws(A2)</f>
        <v>2</v>
      </c>
      <c r="F2" s="5">
        <f t="shared" ref="F2:F34" si="5">countPlayerLosses(A2)</f>
        <v>10</v>
      </c>
      <c r="G2" s="5">
        <f t="shared" ref="G2:G34" si="6">sumPlayerTeamGoals(A2)</f>
        <v>251</v>
      </c>
      <c r="H2" s="7">
        <f t="shared" ref="H2:H34" si="7">G2/B2</f>
        <v>8.964285714</v>
      </c>
      <c r="I2" s="5">
        <f t="shared" ref="I2:I34" si="8">sumPlayerConcededGoals(A2)</f>
        <v>212</v>
      </c>
      <c r="J2" s="7">
        <f t="shared" ref="J2:J34" si="9">I2/B2</f>
        <v>7.571428571</v>
      </c>
      <c r="K2" s="7">
        <f t="shared" ref="K2:K34" si="10">H2-J2</f>
        <v>1.392857143</v>
      </c>
      <c r="L2" s="7">
        <f t="shared" ref="L2:L34" si="11">C2/B2</f>
        <v>1.857142857</v>
      </c>
      <c r="M2" s="8">
        <f t="shared" ref="M2:M34" si="12">D2/B2</f>
        <v>0.5714285714</v>
      </c>
      <c r="N2" s="8">
        <f t="shared" ref="N2:N34" si="13">E2/B2</f>
        <v>0.07142857143</v>
      </c>
      <c r="O2" s="8">
        <f t="shared" ref="O2:O34" si="14">F2/B2</f>
        <v>0.3571428571</v>
      </c>
      <c r="P2" s="8">
        <f t="shared" ref="P2:P34" si="15">B2/49</f>
        <v>0.5714285714</v>
      </c>
      <c r="Q2" s="5">
        <f t="shared" ref="Q2:Q34" si="16">goalsPerGameInWins(A2)</f>
        <v>2.25</v>
      </c>
      <c r="R2" s="5">
        <f t="shared" ref="R2:R34" si="17">goalsPerGameInLosses(A2)</f>
        <v>0.9</v>
      </c>
      <c r="S2" s="5">
        <f t="shared" ref="S2:S34" si="18">Q2-R2</f>
        <v>1.35</v>
      </c>
      <c r="T2" s="5">
        <f t="shared" ref="T2:T34" si="19">LongestWinStreak(A2)</f>
        <v>6</v>
      </c>
      <c r="U2" s="5">
        <f t="shared" ref="U2:U34" si="20">longestLossStreakEndingWithWin(A2)</f>
        <v>2</v>
      </c>
    </row>
    <row r="3">
      <c r="A3" s="1" t="s">
        <v>16</v>
      </c>
      <c r="B3" s="5">
        <f t="shared" si="1"/>
        <v>34</v>
      </c>
      <c r="C3" s="5">
        <f t="shared" si="2"/>
        <v>36</v>
      </c>
      <c r="D3" s="5">
        <f t="shared" si="3"/>
        <v>15</v>
      </c>
      <c r="E3" s="5">
        <f t="shared" si="4"/>
        <v>1</v>
      </c>
      <c r="F3" s="5">
        <f t="shared" si="5"/>
        <v>17</v>
      </c>
      <c r="G3" s="5">
        <f t="shared" si="6"/>
        <v>267</v>
      </c>
      <c r="H3" s="7">
        <f t="shared" si="7"/>
        <v>7.852941176</v>
      </c>
      <c r="I3" s="5">
        <f t="shared" si="8"/>
        <v>256</v>
      </c>
      <c r="J3" s="7">
        <f t="shared" si="9"/>
        <v>7.529411765</v>
      </c>
      <c r="K3" s="7">
        <f t="shared" si="10"/>
        <v>0.3235294118</v>
      </c>
      <c r="L3" s="7">
        <f t="shared" si="11"/>
        <v>1.058823529</v>
      </c>
      <c r="M3" s="8">
        <f t="shared" si="12"/>
        <v>0.4411764706</v>
      </c>
      <c r="N3" s="8">
        <f t="shared" si="13"/>
        <v>0.02941176471</v>
      </c>
      <c r="O3" s="8">
        <f t="shared" si="14"/>
        <v>0.5</v>
      </c>
      <c r="P3" s="8">
        <f t="shared" si="15"/>
        <v>0.693877551</v>
      </c>
      <c r="Q3" s="5">
        <f t="shared" si="16"/>
        <v>1.33</v>
      </c>
      <c r="R3" s="5">
        <f t="shared" si="17"/>
        <v>0.88</v>
      </c>
      <c r="S3" s="5">
        <f t="shared" si="18"/>
        <v>0.45</v>
      </c>
      <c r="T3" s="5">
        <f t="shared" si="19"/>
        <v>5</v>
      </c>
      <c r="U3" s="5">
        <f t="shared" si="20"/>
        <v>4</v>
      </c>
    </row>
    <row r="4">
      <c r="A4" s="1" t="s">
        <v>15</v>
      </c>
      <c r="B4" s="5" t="str">
        <f t="shared" si="1"/>
        <v>#ERROR!</v>
      </c>
      <c r="C4" s="5">
        <f t="shared" si="2"/>
        <v>107</v>
      </c>
      <c r="D4" s="5">
        <f t="shared" si="3"/>
        <v>12</v>
      </c>
      <c r="E4" s="5">
        <f t="shared" si="4"/>
        <v>3</v>
      </c>
      <c r="F4" s="5">
        <f t="shared" si="5"/>
        <v>18</v>
      </c>
      <c r="G4" s="5">
        <f t="shared" si="6"/>
        <v>272</v>
      </c>
      <c r="H4" s="7" t="str">
        <f t="shared" si="7"/>
        <v>#ERROR!</v>
      </c>
      <c r="I4" s="5">
        <f t="shared" si="8"/>
        <v>293</v>
      </c>
      <c r="J4" s="7" t="str">
        <f t="shared" si="9"/>
        <v>#ERROR!</v>
      </c>
      <c r="K4" s="7" t="str">
        <f t="shared" si="10"/>
        <v>#ERROR!</v>
      </c>
      <c r="L4" s="7" t="str">
        <f t="shared" si="11"/>
        <v>#ERROR!</v>
      </c>
      <c r="M4" s="8" t="str">
        <f t="shared" si="12"/>
        <v>#ERROR!</v>
      </c>
      <c r="N4" s="8" t="str">
        <f t="shared" si="13"/>
        <v>#ERROR!</v>
      </c>
      <c r="O4" s="8" t="str">
        <f t="shared" si="14"/>
        <v>#ERROR!</v>
      </c>
      <c r="P4" s="8" t="str">
        <f t="shared" si="15"/>
        <v>#ERROR!</v>
      </c>
      <c r="Q4" s="5">
        <f t="shared" si="16"/>
        <v>3.92</v>
      </c>
      <c r="R4" s="5">
        <f t="shared" si="17"/>
        <v>2.78</v>
      </c>
      <c r="S4" s="5">
        <f t="shared" si="18"/>
        <v>1.14</v>
      </c>
      <c r="T4" s="5">
        <f t="shared" si="19"/>
        <v>3</v>
      </c>
      <c r="U4" s="5">
        <f t="shared" si="20"/>
        <v>5</v>
      </c>
    </row>
    <row r="5">
      <c r="A5" s="1" t="s">
        <v>85</v>
      </c>
      <c r="B5" s="5">
        <f t="shared" si="1"/>
        <v>1</v>
      </c>
      <c r="C5" s="5">
        <f t="shared" si="2"/>
        <v>1</v>
      </c>
      <c r="D5" s="5">
        <f t="shared" si="3"/>
        <v>1</v>
      </c>
      <c r="E5" s="5">
        <f t="shared" si="4"/>
        <v>0</v>
      </c>
      <c r="F5" s="5">
        <f t="shared" si="5"/>
        <v>0</v>
      </c>
      <c r="G5" s="5">
        <f t="shared" si="6"/>
        <v>7</v>
      </c>
      <c r="H5" s="7">
        <f t="shared" si="7"/>
        <v>7</v>
      </c>
      <c r="I5" s="5">
        <f t="shared" si="8"/>
        <v>6</v>
      </c>
      <c r="J5" s="7">
        <f t="shared" si="9"/>
        <v>6</v>
      </c>
      <c r="K5" s="7">
        <f t="shared" si="10"/>
        <v>1</v>
      </c>
      <c r="L5" s="7">
        <f t="shared" si="11"/>
        <v>1</v>
      </c>
      <c r="M5" s="8">
        <f t="shared" si="12"/>
        <v>1</v>
      </c>
      <c r="N5" s="8">
        <f t="shared" si="13"/>
        <v>0</v>
      </c>
      <c r="O5" s="8">
        <f t="shared" si="14"/>
        <v>0</v>
      </c>
      <c r="P5" s="8">
        <f t="shared" si="15"/>
        <v>0.02040816327</v>
      </c>
      <c r="Q5" s="5">
        <f t="shared" si="16"/>
        <v>1</v>
      </c>
      <c r="R5" s="5">
        <f t="shared" si="17"/>
        <v>0</v>
      </c>
      <c r="S5" s="5">
        <f t="shared" si="18"/>
        <v>1</v>
      </c>
      <c r="T5" s="5">
        <f t="shared" si="19"/>
        <v>1</v>
      </c>
      <c r="U5" s="5">
        <f t="shared" si="20"/>
        <v>0</v>
      </c>
    </row>
    <row r="6">
      <c r="A6" s="1" t="s">
        <v>18</v>
      </c>
      <c r="B6" s="5">
        <f t="shared" si="1"/>
        <v>33</v>
      </c>
      <c r="C6" s="5">
        <f t="shared" si="2"/>
        <v>46</v>
      </c>
      <c r="D6" s="5">
        <f t="shared" si="3"/>
        <v>18</v>
      </c>
      <c r="E6" s="5">
        <f t="shared" si="4"/>
        <v>3</v>
      </c>
      <c r="F6" s="5">
        <f t="shared" si="5"/>
        <v>11</v>
      </c>
      <c r="G6" s="5">
        <f t="shared" si="6"/>
        <v>260</v>
      </c>
      <c r="H6" s="7">
        <f t="shared" si="7"/>
        <v>7.878787879</v>
      </c>
      <c r="I6" s="5">
        <f t="shared" si="8"/>
        <v>221</v>
      </c>
      <c r="J6" s="7">
        <f t="shared" si="9"/>
        <v>6.696969697</v>
      </c>
      <c r="K6" s="7">
        <f t="shared" si="10"/>
        <v>1.181818182</v>
      </c>
      <c r="L6" s="7">
        <f t="shared" si="11"/>
        <v>1.393939394</v>
      </c>
      <c r="M6" s="8">
        <f t="shared" si="12"/>
        <v>0.5454545455</v>
      </c>
      <c r="N6" s="8">
        <f t="shared" si="13"/>
        <v>0.09090909091</v>
      </c>
      <c r="O6" s="8">
        <f t="shared" si="14"/>
        <v>0.3333333333</v>
      </c>
      <c r="P6" s="8">
        <f t="shared" si="15"/>
        <v>0.6734693878</v>
      </c>
      <c r="Q6" s="5">
        <f t="shared" si="16"/>
        <v>1.83</v>
      </c>
      <c r="R6" s="5">
        <f t="shared" si="17"/>
        <v>0.73</v>
      </c>
      <c r="S6" s="5">
        <f t="shared" si="18"/>
        <v>1.1</v>
      </c>
      <c r="T6" s="10">
        <f t="shared" si="19"/>
        <v>7</v>
      </c>
      <c r="U6" s="5">
        <f t="shared" si="20"/>
        <v>3</v>
      </c>
    </row>
    <row r="7">
      <c r="A7" s="1" t="s">
        <v>17</v>
      </c>
      <c r="B7" s="5">
        <f t="shared" si="1"/>
        <v>28</v>
      </c>
      <c r="C7" s="5">
        <f t="shared" si="2"/>
        <v>54</v>
      </c>
      <c r="D7" s="5">
        <f t="shared" si="3"/>
        <v>12</v>
      </c>
      <c r="E7" s="5">
        <f t="shared" si="4"/>
        <v>2</v>
      </c>
      <c r="F7" s="5">
        <f t="shared" si="5"/>
        <v>13</v>
      </c>
      <c r="G7" s="5">
        <f t="shared" si="6"/>
        <v>224</v>
      </c>
      <c r="H7" s="7">
        <f t="shared" si="7"/>
        <v>8</v>
      </c>
      <c r="I7" s="5">
        <f t="shared" si="8"/>
        <v>231</v>
      </c>
      <c r="J7" s="7">
        <f t="shared" si="9"/>
        <v>8.25</v>
      </c>
      <c r="K7" s="7">
        <f t="shared" si="10"/>
        <v>-0.25</v>
      </c>
      <c r="L7" s="7">
        <f t="shared" si="11"/>
        <v>1.928571429</v>
      </c>
      <c r="M7" s="8">
        <f t="shared" si="12"/>
        <v>0.4285714286</v>
      </c>
      <c r="N7" s="8">
        <f t="shared" si="13"/>
        <v>0.07142857143</v>
      </c>
      <c r="O7" s="8">
        <f t="shared" si="14"/>
        <v>0.4642857143</v>
      </c>
      <c r="P7" s="8">
        <f t="shared" si="15"/>
        <v>0.5714285714</v>
      </c>
      <c r="Q7" s="5">
        <f t="shared" si="16"/>
        <v>2</v>
      </c>
      <c r="R7" s="5">
        <f t="shared" si="17"/>
        <v>2</v>
      </c>
      <c r="S7" s="5">
        <f t="shared" si="18"/>
        <v>0</v>
      </c>
      <c r="T7" s="10">
        <f t="shared" si="19"/>
        <v>7</v>
      </c>
      <c r="U7" s="5">
        <f t="shared" si="20"/>
        <v>6</v>
      </c>
    </row>
    <row r="8">
      <c r="A8" s="1" t="s">
        <v>33</v>
      </c>
      <c r="B8" s="5">
        <f t="shared" si="1"/>
        <v>1</v>
      </c>
      <c r="C8" s="5">
        <f t="shared" si="2"/>
        <v>1</v>
      </c>
      <c r="D8" s="5">
        <f t="shared" si="3"/>
        <v>0</v>
      </c>
      <c r="E8" s="5">
        <f t="shared" si="4"/>
        <v>0</v>
      </c>
      <c r="F8" s="5">
        <f t="shared" si="5"/>
        <v>1</v>
      </c>
      <c r="G8" s="5" t="str">
        <f t="shared" si="6"/>
        <v>#ERROR!</v>
      </c>
      <c r="H8" s="7" t="str">
        <f t="shared" si="7"/>
        <v>#ERROR!</v>
      </c>
      <c r="I8" s="5">
        <f t="shared" si="8"/>
        <v>12</v>
      </c>
      <c r="J8" s="7">
        <f t="shared" si="9"/>
        <v>12</v>
      </c>
      <c r="K8" s="7" t="str">
        <f t="shared" si="10"/>
        <v>#ERROR!</v>
      </c>
      <c r="L8" s="7">
        <f t="shared" si="11"/>
        <v>1</v>
      </c>
      <c r="M8" s="8">
        <f t="shared" si="12"/>
        <v>0</v>
      </c>
      <c r="N8" s="8">
        <f t="shared" si="13"/>
        <v>0</v>
      </c>
      <c r="O8" s="8">
        <f t="shared" si="14"/>
        <v>1</v>
      </c>
      <c r="P8" s="8">
        <f t="shared" si="15"/>
        <v>0.02040816327</v>
      </c>
      <c r="Q8" s="5">
        <f t="shared" si="16"/>
        <v>0</v>
      </c>
      <c r="R8" s="5">
        <f t="shared" si="17"/>
        <v>1</v>
      </c>
      <c r="S8" s="5">
        <f t="shared" si="18"/>
        <v>-1</v>
      </c>
      <c r="T8" s="5">
        <f t="shared" si="19"/>
        <v>0</v>
      </c>
      <c r="U8" s="5">
        <f t="shared" si="20"/>
        <v>1</v>
      </c>
    </row>
    <row r="9">
      <c r="A9" s="1" t="s">
        <v>65</v>
      </c>
      <c r="B9" s="5">
        <f t="shared" si="1"/>
        <v>6</v>
      </c>
      <c r="C9" s="5">
        <f t="shared" si="2"/>
        <v>3</v>
      </c>
      <c r="D9" s="5">
        <f t="shared" si="3"/>
        <v>1</v>
      </c>
      <c r="E9" s="5">
        <f t="shared" si="4"/>
        <v>0</v>
      </c>
      <c r="F9" s="5">
        <f t="shared" si="5"/>
        <v>5</v>
      </c>
      <c r="G9" s="5">
        <f t="shared" si="6"/>
        <v>46</v>
      </c>
      <c r="H9" s="7">
        <f t="shared" si="7"/>
        <v>7.666666667</v>
      </c>
      <c r="I9" s="5" t="str">
        <f t="shared" si="8"/>
        <v>#ERROR!</v>
      </c>
      <c r="J9" s="7" t="str">
        <f t="shared" si="9"/>
        <v>#ERROR!</v>
      </c>
      <c r="K9" s="7" t="str">
        <f t="shared" si="10"/>
        <v>#ERROR!</v>
      </c>
      <c r="L9" s="7">
        <f t="shared" si="11"/>
        <v>0.5</v>
      </c>
      <c r="M9" s="8">
        <f t="shared" si="12"/>
        <v>0.1666666667</v>
      </c>
      <c r="N9" s="8">
        <f t="shared" si="13"/>
        <v>0</v>
      </c>
      <c r="O9" s="8">
        <f t="shared" si="14"/>
        <v>0.8333333333</v>
      </c>
      <c r="P9" s="8">
        <f t="shared" si="15"/>
        <v>0.1224489796</v>
      </c>
      <c r="Q9" s="5">
        <f t="shared" si="16"/>
        <v>1</v>
      </c>
      <c r="R9" s="5">
        <f t="shared" si="17"/>
        <v>0.4</v>
      </c>
      <c r="S9" s="5">
        <f t="shared" si="18"/>
        <v>0.6</v>
      </c>
      <c r="T9" s="5">
        <f t="shared" si="19"/>
        <v>1</v>
      </c>
      <c r="U9" s="5">
        <f t="shared" si="20"/>
        <v>4</v>
      </c>
    </row>
    <row r="10">
      <c r="A10" s="1" t="s">
        <v>11</v>
      </c>
      <c r="B10" s="5">
        <f t="shared" si="1"/>
        <v>31</v>
      </c>
      <c r="C10" s="5">
        <f t="shared" si="2"/>
        <v>49</v>
      </c>
      <c r="D10" s="1">
        <f t="shared" si="3"/>
        <v>15</v>
      </c>
      <c r="E10" s="5">
        <f t="shared" si="4"/>
        <v>3</v>
      </c>
      <c r="F10" s="5">
        <f t="shared" si="5"/>
        <v>13</v>
      </c>
      <c r="G10" s="5">
        <f t="shared" si="6"/>
        <v>242</v>
      </c>
      <c r="H10" s="7">
        <f t="shared" si="7"/>
        <v>7.806451613</v>
      </c>
      <c r="I10" s="5">
        <f t="shared" si="8"/>
        <v>261</v>
      </c>
      <c r="J10" s="7">
        <f t="shared" si="9"/>
        <v>8.419354839</v>
      </c>
      <c r="K10" s="7">
        <f t="shared" si="10"/>
        <v>-0.6129032258</v>
      </c>
      <c r="L10" s="7">
        <f t="shared" si="11"/>
        <v>1.580645161</v>
      </c>
      <c r="M10" s="8">
        <f t="shared" si="12"/>
        <v>0.4838709677</v>
      </c>
      <c r="N10" s="8">
        <f t="shared" si="13"/>
        <v>0.09677419355</v>
      </c>
      <c r="O10" s="8">
        <f t="shared" si="14"/>
        <v>0.4193548387</v>
      </c>
      <c r="P10" s="8">
        <f t="shared" si="15"/>
        <v>0.6326530612</v>
      </c>
      <c r="Q10" s="5">
        <f t="shared" si="16"/>
        <v>2.2</v>
      </c>
      <c r="R10" s="5">
        <f t="shared" si="17"/>
        <v>0.85</v>
      </c>
      <c r="S10" s="5">
        <f t="shared" si="18"/>
        <v>1.35</v>
      </c>
      <c r="T10" s="10">
        <f t="shared" si="19"/>
        <v>7</v>
      </c>
      <c r="U10" s="5">
        <f t="shared" si="20"/>
        <v>4</v>
      </c>
    </row>
    <row r="11">
      <c r="A11" s="1" t="s">
        <v>8</v>
      </c>
      <c r="B11" s="1">
        <v>38.0</v>
      </c>
      <c r="C11" s="5" t="str">
        <f t="shared" si="2"/>
        <v>#ERROR!</v>
      </c>
      <c r="D11" s="5">
        <f t="shared" si="3"/>
        <v>18</v>
      </c>
      <c r="E11" s="5">
        <f t="shared" si="4"/>
        <v>2</v>
      </c>
      <c r="F11" s="5">
        <f t="shared" si="5"/>
        <v>18</v>
      </c>
      <c r="G11" s="5">
        <f t="shared" si="6"/>
        <v>298</v>
      </c>
      <c r="H11" s="7">
        <f t="shared" si="7"/>
        <v>7.842105263</v>
      </c>
      <c r="I11" s="5">
        <f t="shared" si="8"/>
        <v>319</v>
      </c>
      <c r="J11" s="7">
        <f t="shared" si="9"/>
        <v>8.394736842</v>
      </c>
      <c r="K11" s="7">
        <f t="shared" si="10"/>
        <v>-0.5526315789</v>
      </c>
      <c r="L11" s="7" t="str">
        <f t="shared" si="11"/>
        <v>#ERROR!</v>
      </c>
      <c r="M11" s="8">
        <f t="shared" si="12"/>
        <v>0.4736842105</v>
      </c>
      <c r="N11" s="8">
        <f t="shared" si="13"/>
        <v>0.05263157895</v>
      </c>
      <c r="O11" s="8">
        <f t="shared" si="14"/>
        <v>0.4736842105</v>
      </c>
      <c r="P11" s="8">
        <f t="shared" si="15"/>
        <v>0.7755102041</v>
      </c>
      <c r="Q11" s="5">
        <f t="shared" si="16"/>
        <v>0.78</v>
      </c>
      <c r="R11" s="5">
        <f t="shared" si="17"/>
        <v>0.61</v>
      </c>
      <c r="S11" s="5">
        <f t="shared" si="18"/>
        <v>0.17</v>
      </c>
      <c r="T11" s="5">
        <f t="shared" si="19"/>
        <v>4</v>
      </c>
      <c r="U11" s="5">
        <f t="shared" si="20"/>
        <v>4</v>
      </c>
    </row>
    <row r="12">
      <c r="A12" s="1" t="s">
        <v>132</v>
      </c>
      <c r="B12" s="5">
        <f t="shared" ref="B12:B34" si="21">countPlayerOccurrences(A12)</f>
        <v>0</v>
      </c>
      <c r="C12" s="5">
        <f t="shared" si="2"/>
        <v>0</v>
      </c>
      <c r="D12" s="5" t="str">
        <f t="shared" si="3"/>
        <v>#ERROR!</v>
      </c>
      <c r="E12" s="5">
        <f t="shared" si="4"/>
        <v>0</v>
      </c>
      <c r="F12" s="5">
        <f t="shared" si="5"/>
        <v>0</v>
      </c>
      <c r="G12" s="5">
        <f t="shared" si="6"/>
        <v>0</v>
      </c>
      <c r="H12" s="7" t="str">
        <f t="shared" si="7"/>
        <v>#DIV/0!</v>
      </c>
      <c r="I12" s="5">
        <f t="shared" si="8"/>
        <v>0</v>
      </c>
      <c r="J12" s="7" t="str">
        <f t="shared" si="9"/>
        <v>#DIV/0!</v>
      </c>
      <c r="K12" s="7" t="str">
        <f t="shared" si="10"/>
        <v>#DIV/0!</v>
      </c>
      <c r="L12" s="7" t="str">
        <f t="shared" si="11"/>
        <v>#DIV/0!</v>
      </c>
      <c r="M12" s="8" t="str">
        <f t="shared" si="12"/>
        <v>#ERROR!</v>
      </c>
      <c r="N12" s="8" t="str">
        <f t="shared" si="13"/>
        <v>#DIV/0!</v>
      </c>
      <c r="O12" s="8" t="str">
        <f t="shared" si="14"/>
        <v>#DIV/0!</v>
      </c>
      <c r="P12" s="8">
        <f t="shared" si="15"/>
        <v>0</v>
      </c>
      <c r="Q12" s="5">
        <f t="shared" si="16"/>
        <v>0</v>
      </c>
      <c r="R12" s="5">
        <f t="shared" si="17"/>
        <v>0</v>
      </c>
      <c r="S12" s="5">
        <f t="shared" si="18"/>
        <v>0</v>
      </c>
      <c r="T12" s="5">
        <f t="shared" si="19"/>
        <v>0</v>
      </c>
      <c r="U12" s="5">
        <f t="shared" si="20"/>
        <v>0</v>
      </c>
    </row>
    <row r="13">
      <c r="A13" s="1" t="s">
        <v>13</v>
      </c>
      <c r="B13" s="5">
        <f t="shared" si="21"/>
        <v>31</v>
      </c>
      <c r="C13" s="5">
        <f t="shared" si="2"/>
        <v>18</v>
      </c>
      <c r="D13" s="5">
        <f t="shared" si="3"/>
        <v>16</v>
      </c>
      <c r="E13" s="5">
        <f t="shared" si="4"/>
        <v>4</v>
      </c>
      <c r="F13" s="5">
        <f t="shared" si="5"/>
        <v>10</v>
      </c>
      <c r="G13" s="5">
        <f t="shared" si="6"/>
        <v>262</v>
      </c>
      <c r="H13" s="7">
        <f t="shared" si="7"/>
        <v>8.451612903</v>
      </c>
      <c r="I13" s="5">
        <f t="shared" si="8"/>
        <v>233</v>
      </c>
      <c r="J13" s="7">
        <f t="shared" si="9"/>
        <v>7.516129032</v>
      </c>
      <c r="K13" s="7">
        <f t="shared" si="10"/>
        <v>0.935483871</v>
      </c>
      <c r="L13" s="7">
        <f t="shared" si="11"/>
        <v>0.5806451613</v>
      </c>
      <c r="M13" s="8">
        <f t="shared" si="12"/>
        <v>0.5161290323</v>
      </c>
      <c r="N13" s="8">
        <f t="shared" si="13"/>
        <v>0.1290322581</v>
      </c>
      <c r="O13" s="8">
        <f t="shared" si="14"/>
        <v>0.3225806452</v>
      </c>
      <c r="P13" s="8">
        <f t="shared" si="15"/>
        <v>0.6326530612</v>
      </c>
      <c r="Q13" s="5">
        <f t="shared" si="16"/>
        <v>0.81</v>
      </c>
      <c r="R13" s="5">
        <f t="shared" si="17"/>
        <v>0.4</v>
      </c>
      <c r="S13" s="5">
        <f t="shared" si="18"/>
        <v>0.41</v>
      </c>
      <c r="T13" s="10">
        <f t="shared" si="19"/>
        <v>7</v>
      </c>
      <c r="U13" s="5">
        <f t="shared" si="20"/>
        <v>3</v>
      </c>
    </row>
    <row r="14">
      <c r="A14" s="1" t="s">
        <v>19</v>
      </c>
      <c r="B14" s="5">
        <f t="shared" si="21"/>
        <v>31</v>
      </c>
      <c r="C14" s="5">
        <f t="shared" si="2"/>
        <v>24</v>
      </c>
      <c r="D14" s="5">
        <f t="shared" si="3"/>
        <v>12</v>
      </c>
      <c r="E14" s="5">
        <f t="shared" si="4"/>
        <v>3</v>
      </c>
      <c r="F14" s="5">
        <f t="shared" si="5"/>
        <v>15</v>
      </c>
      <c r="G14" s="5">
        <f t="shared" si="6"/>
        <v>234</v>
      </c>
      <c r="H14" s="7">
        <f t="shared" si="7"/>
        <v>7.548387097</v>
      </c>
      <c r="I14" s="5" t="str">
        <f t="shared" si="8"/>
        <v>#ERROR!</v>
      </c>
      <c r="J14" s="7" t="str">
        <f t="shared" si="9"/>
        <v>#ERROR!</v>
      </c>
      <c r="K14" s="7" t="str">
        <f t="shared" si="10"/>
        <v>#ERROR!</v>
      </c>
      <c r="L14" s="7">
        <f t="shared" si="11"/>
        <v>0.7741935484</v>
      </c>
      <c r="M14" s="8">
        <f t="shared" si="12"/>
        <v>0.3870967742</v>
      </c>
      <c r="N14" s="8">
        <f t="shared" si="13"/>
        <v>0.09677419355</v>
      </c>
      <c r="O14" s="8">
        <f t="shared" si="14"/>
        <v>0.4838709677</v>
      </c>
      <c r="P14" s="8">
        <f t="shared" si="15"/>
        <v>0.6326530612</v>
      </c>
      <c r="Q14" s="5">
        <f t="shared" si="16"/>
        <v>0.92</v>
      </c>
      <c r="R14" s="5">
        <f t="shared" si="17"/>
        <v>0.87</v>
      </c>
      <c r="S14" s="5">
        <f t="shared" si="18"/>
        <v>0.05</v>
      </c>
      <c r="T14" s="5">
        <f t="shared" si="19"/>
        <v>4</v>
      </c>
      <c r="U14" s="5">
        <f t="shared" si="20"/>
        <v>4</v>
      </c>
    </row>
    <row r="15">
      <c r="A15" s="1" t="s">
        <v>25</v>
      </c>
      <c r="B15" s="5">
        <f t="shared" si="21"/>
        <v>11</v>
      </c>
      <c r="C15" s="5">
        <f t="shared" si="2"/>
        <v>13</v>
      </c>
      <c r="D15" s="5">
        <f t="shared" si="3"/>
        <v>6</v>
      </c>
      <c r="E15" s="5">
        <f t="shared" si="4"/>
        <v>1</v>
      </c>
      <c r="F15" s="5">
        <f t="shared" si="5"/>
        <v>4</v>
      </c>
      <c r="G15" s="5">
        <f t="shared" si="6"/>
        <v>100</v>
      </c>
      <c r="H15" s="7">
        <f t="shared" si="7"/>
        <v>9.090909091</v>
      </c>
      <c r="I15" s="5">
        <f t="shared" si="8"/>
        <v>96</v>
      </c>
      <c r="J15" s="7">
        <f t="shared" si="9"/>
        <v>8.727272727</v>
      </c>
      <c r="K15" s="7">
        <f t="shared" si="10"/>
        <v>0.3636363636</v>
      </c>
      <c r="L15" s="7">
        <f t="shared" si="11"/>
        <v>1.181818182</v>
      </c>
      <c r="M15" s="8">
        <f t="shared" si="12"/>
        <v>0.5454545455</v>
      </c>
      <c r="N15" s="8">
        <f t="shared" si="13"/>
        <v>0.09090909091</v>
      </c>
      <c r="O15" s="8">
        <f t="shared" si="14"/>
        <v>0.3636363636</v>
      </c>
      <c r="P15" s="8">
        <f t="shared" si="15"/>
        <v>0.2244897959</v>
      </c>
      <c r="Q15" s="5">
        <f t="shared" si="16"/>
        <v>1.83</v>
      </c>
      <c r="R15" s="5">
        <f t="shared" si="17"/>
        <v>0.5</v>
      </c>
      <c r="S15" s="5">
        <f t="shared" si="18"/>
        <v>1.33</v>
      </c>
      <c r="T15" s="5" t="str">
        <f t="shared" si="19"/>
        <v>#ERROR!</v>
      </c>
      <c r="U15" s="5">
        <f t="shared" si="20"/>
        <v>2</v>
      </c>
    </row>
    <row r="16">
      <c r="A16" s="1" t="s">
        <v>159</v>
      </c>
      <c r="B16" s="5">
        <f t="shared" si="21"/>
        <v>0</v>
      </c>
      <c r="C16" s="5">
        <f t="shared" si="2"/>
        <v>0</v>
      </c>
      <c r="D16" s="5">
        <f t="shared" si="3"/>
        <v>0</v>
      </c>
      <c r="E16" s="5">
        <f t="shared" si="4"/>
        <v>0</v>
      </c>
      <c r="F16" s="5">
        <f t="shared" si="5"/>
        <v>0</v>
      </c>
      <c r="G16" s="5">
        <f t="shared" si="6"/>
        <v>0</v>
      </c>
      <c r="H16" s="7" t="str">
        <f t="shared" si="7"/>
        <v>#DIV/0!</v>
      </c>
      <c r="I16" s="5">
        <f t="shared" si="8"/>
        <v>0</v>
      </c>
      <c r="J16" s="7" t="str">
        <f t="shared" si="9"/>
        <v>#DIV/0!</v>
      </c>
      <c r="K16" s="7" t="str">
        <f t="shared" si="10"/>
        <v>#DIV/0!</v>
      </c>
      <c r="L16" s="7" t="str">
        <f t="shared" si="11"/>
        <v>#DIV/0!</v>
      </c>
      <c r="M16" s="8" t="str">
        <f t="shared" si="12"/>
        <v>#DIV/0!</v>
      </c>
      <c r="N16" s="8" t="str">
        <f t="shared" si="13"/>
        <v>#DIV/0!</v>
      </c>
      <c r="O16" s="8" t="str">
        <f t="shared" si="14"/>
        <v>#DIV/0!</v>
      </c>
      <c r="P16" s="8">
        <f t="shared" si="15"/>
        <v>0</v>
      </c>
      <c r="Q16" s="5">
        <f t="shared" si="16"/>
        <v>0</v>
      </c>
      <c r="R16" s="5">
        <f t="shared" si="17"/>
        <v>0</v>
      </c>
      <c r="S16" s="5">
        <f t="shared" si="18"/>
        <v>0</v>
      </c>
      <c r="T16" s="5">
        <f t="shared" si="19"/>
        <v>0</v>
      </c>
      <c r="U16" s="5">
        <f t="shared" si="20"/>
        <v>0</v>
      </c>
    </row>
    <row r="17">
      <c r="A17" s="1" t="s">
        <v>48</v>
      </c>
      <c r="B17" s="5">
        <f t="shared" si="21"/>
        <v>9</v>
      </c>
      <c r="C17" s="5">
        <f t="shared" si="2"/>
        <v>3</v>
      </c>
      <c r="D17" s="5">
        <f t="shared" si="3"/>
        <v>1</v>
      </c>
      <c r="E17" s="5">
        <f t="shared" si="4"/>
        <v>1</v>
      </c>
      <c r="F17" s="5">
        <f t="shared" si="5"/>
        <v>7</v>
      </c>
      <c r="G17" s="5" t="str">
        <f t="shared" si="6"/>
        <v>#ERROR!</v>
      </c>
      <c r="H17" s="7" t="str">
        <f t="shared" si="7"/>
        <v>#ERROR!</v>
      </c>
      <c r="I17" s="5">
        <f t="shared" si="8"/>
        <v>88</v>
      </c>
      <c r="J17" s="7">
        <f t="shared" si="9"/>
        <v>9.777777778</v>
      </c>
      <c r="K17" s="7" t="str">
        <f t="shared" si="10"/>
        <v>#ERROR!</v>
      </c>
      <c r="L17" s="7">
        <f t="shared" si="11"/>
        <v>0.3333333333</v>
      </c>
      <c r="M17" s="8">
        <f t="shared" si="12"/>
        <v>0.1111111111</v>
      </c>
      <c r="N17" s="8">
        <f t="shared" si="13"/>
        <v>0.1111111111</v>
      </c>
      <c r="O17" s="8">
        <f t="shared" si="14"/>
        <v>0.7777777778</v>
      </c>
      <c r="P17" s="8">
        <f t="shared" si="15"/>
        <v>0.1836734694</v>
      </c>
      <c r="Q17" s="5">
        <f t="shared" si="16"/>
        <v>0</v>
      </c>
      <c r="R17" s="5">
        <f t="shared" si="17"/>
        <v>0.43</v>
      </c>
      <c r="S17" s="5">
        <f t="shared" si="18"/>
        <v>-0.43</v>
      </c>
      <c r="T17" s="5">
        <f t="shared" si="19"/>
        <v>1</v>
      </c>
      <c r="U17" s="5">
        <f t="shared" si="20"/>
        <v>5</v>
      </c>
    </row>
    <row r="18">
      <c r="A18" s="1" t="s">
        <v>14</v>
      </c>
      <c r="B18" s="5">
        <f t="shared" si="21"/>
        <v>34</v>
      </c>
      <c r="C18" s="5">
        <f t="shared" si="2"/>
        <v>74</v>
      </c>
      <c r="D18" s="5">
        <f t="shared" si="3"/>
        <v>20</v>
      </c>
      <c r="E18" s="5">
        <f t="shared" si="4"/>
        <v>4</v>
      </c>
      <c r="F18" s="5">
        <f t="shared" si="5"/>
        <v>10</v>
      </c>
      <c r="G18" s="5">
        <f t="shared" si="6"/>
        <v>282</v>
      </c>
      <c r="H18" s="7">
        <f t="shared" si="7"/>
        <v>8.294117647</v>
      </c>
      <c r="I18" s="5">
        <f t="shared" si="8"/>
        <v>250</v>
      </c>
      <c r="J18" s="7">
        <f t="shared" si="9"/>
        <v>7.352941176</v>
      </c>
      <c r="K18" s="7">
        <f t="shared" si="10"/>
        <v>0.9411764706</v>
      </c>
      <c r="L18" s="7">
        <f t="shared" si="11"/>
        <v>2.176470588</v>
      </c>
      <c r="M18" s="8">
        <f t="shared" si="12"/>
        <v>0.5882352941</v>
      </c>
      <c r="N18" s="8">
        <f t="shared" si="13"/>
        <v>0.1176470588</v>
      </c>
      <c r="O18" s="8">
        <f t="shared" si="14"/>
        <v>0.2941176471</v>
      </c>
      <c r="P18" s="8">
        <f t="shared" si="15"/>
        <v>0.693877551</v>
      </c>
      <c r="Q18" s="5">
        <f t="shared" si="16"/>
        <v>2.55</v>
      </c>
      <c r="R18" s="5">
        <f t="shared" si="17"/>
        <v>1.4</v>
      </c>
      <c r="S18" s="5">
        <f t="shared" si="18"/>
        <v>1.15</v>
      </c>
      <c r="T18" s="10">
        <f t="shared" si="19"/>
        <v>7</v>
      </c>
      <c r="U18" s="5">
        <f t="shared" si="20"/>
        <v>4</v>
      </c>
    </row>
    <row r="19">
      <c r="A19" s="1" t="s">
        <v>41</v>
      </c>
      <c r="B19" s="5" t="str">
        <f t="shared" si="21"/>
        <v>#ERROR!</v>
      </c>
      <c r="C19" s="5">
        <f t="shared" si="2"/>
        <v>3</v>
      </c>
      <c r="D19" s="5">
        <f t="shared" si="3"/>
        <v>2</v>
      </c>
      <c r="E19" s="5" t="str">
        <f t="shared" si="4"/>
        <v>#ERROR!</v>
      </c>
      <c r="F19" s="5">
        <f t="shared" si="5"/>
        <v>4</v>
      </c>
      <c r="G19" s="5">
        <f t="shared" si="6"/>
        <v>35</v>
      </c>
      <c r="H19" s="7" t="str">
        <f t="shared" si="7"/>
        <v>#ERROR!</v>
      </c>
      <c r="I19" s="5">
        <f t="shared" si="8"/>
        <v>56</v>
      </c>
      <c r="J19" s="7" t="str">
        <f t="shared" si="9"/>
        <v>#ERROR!</v>
      </c>
      <c r="K19" s="7" t="str">
        <f t="shared" si="10"/>
        <v>#ERROR!</v>
      </c>
      <c r="L19" s="7" t="str">
        <f t="shared" si="11"/>
        <v>#ERROR!</v>
      </c>
      <c r="M19" s="8" t="str">
        <f t="shared" si="12"/>
        <v>#ERROR!</v>
      </c>
      <c r="N19" s="8" t="str">
        <f t="shared" si="13"/>
        <v>#ERROR!</v>
      </c>
      <c r="O19" s="8" t="str">
        <f t="shared" si="14"/>
        <v>#ERROR!</v>
      </c>
      <c r="P19" s="8" t="str">
        <f t="shared" si="15"/>
        <v>#ERROR!</v>
      </c>
      <c r="Q19" s="5">
        <f t="shared" si="16"/>
        <v>0.5</v>
      </c>
      <c r="R19" s="5">
        <f t="shared" si="17"/>
        <v>0.5</v>
      </c>
      <c r="S19" s="5">
        <f t="shared" si="18"/>
        <v>0</v>
      </c>
      <c r="T19" s="5">
        <f t="shared" si="19"/>
        <v>2</v>
      </c>
      <c r="U19" s="5">
        <f t="shared" si="20"/>
        <v>3</v>
      </c>
    </row>
    <row r="20">
      <c r="A20" s="1" t="s">
        <v>36</v>
      </c>
      <c r="B20" s="5">
        <f t="shared" si="21"/>
        <v>2</v>
      </c>
      <c r="C20" s="5">
        <f t="shared" si="2"/>
        <v>0</v>
      </c>
      <c r="D20" s="5" t="str">
        <f t="shared" si="3"/>
        <v>#ERROR!</v>
      </c>
      <c r="E20" s="5">
        <f t="shared" si="4"/>
        <v>1</v>
      </c>
      <c r="F20" s="5">
        <f t="shared" si="5"/>
        <v>0</v>
      </c>
      <c r="G20" s="5">
        <f t="shared" si="6"/>
        <v>18</v>
      </c>
      <c r="H20" s="7">
        <f t="shared" si="7"/>
        <v>9</v>
      </c>
      <c r="I20" s="5">
        <f t="shared" si="8"/>
        <v>15</v>
      </c>
      <c r="J20" s="7">
        <f t="shared" si="9"/>
        <v>7.5</v>
      </c>
      <c r="K20" s="7">
        <f t="shared" si="10"/>
        <v>1.5</v>
      </c>
      <c r="L20" s="7">
        <f t="shared" si="11"/>
        <v>0</v>
      </c>
      <c r="M20" s="8" t="str">
        <f t="shared" si="12"/>
        <v>#ERROR!</v>
      </c>
      <c r="N20" s="8">
        <f t="shared" si="13"/>
        <v>0.5</v>
      </c>
      <c r="O20" s="8">
        <f t="shared" si="14"/>
        <v>0</v>
      </c>
      <c r="P20" s="8">
        <f t="shared" si="15"/>
        <v>0.04081632653</v>
      </c>
      <c r="Q20" s="5">
        <f t="shared" si="16"/>
        <v>0</v>
      </c>
      <c r="R20" s="5">
        <f t="shared" si="17"/>
        <v>0</v>
      </c>
      <c r="S20" s="5">
        <f t="shared" si="18"/>
        <v>0</v>
      </c>
      <c r="T20" s="5">
        <f t="shared" si="19"/>
        <v>1</v>
      </c>
      <c r="U20" s="5">
        <f t="shared" si="20"/>
        <v>0</v>
      </c>
    </row>
    <row r="21">
      <c r="A21" s="1" t="s">
        <v>31</v>
      </c>
      <c r="B21" s="5" t="str">
        <f t="shared" si="21"/>
        <v>#ERROR!</v>
      </c>
      <c r="C21" s="5">
        <f t="shared" si="2"/>
        <v>2</v>
      </c>
      <c r="D21" s="5">
        <f t="shared" si="3"/>
        <v>3</v>
      </c>
      <c r="E21" s="5">
        <f t="shared" si="4"/>
        <v>0</v>
      </c>
      <c r="F21" s="5">
        <f t="shared" si="5"/>
        <v>4</v>
      </c>
      <c r="G21" s="5">
        <f t="shared" si="6"/>
        <v>42</v>
      </c>
      <c r="H21" s="7" t="str">
        <f t="shared" si="7"/>
        <v>#ERROR!</v>
      </c>
      <c r="I21" s="5">
        <f t="shared" si="8"/>
        <v>57</v>
      </c>
      <c r="J21" s="7" t="str">
        <f t="shared" si="9"/>
        <v>#ERROR!</v>
      </c>
      <c r="K21" s="7" t="str">
        <f t="shared" si="10"/>
        <v>#ERROR!</v>
      </c>
      <c r="L21" s="7" t="str">
        <f t="shared" si="11"/>
        <v>#ERROR!</v>
      </c>
      <c r="M21" s="8" t="str">
        <f t="shared" si="12"/>
        <v>#ERROR!</v>
      </c>
      <c r="N21" s="8" t="str">
        <f t="shared" si="13"/>
        <v>#ERROR!</v>
      </c>
      <c r="O21" s="8" t="str">
        <f t="shared" si="14"/>
        <v>#ERROR!</v>
      </c>
      <c r="P21" s="8" t="str">
        <f t="shared" si="15"/>
        <v>#ERROR!</v>
      </c>
      <c r="Q21" s="5">
        <f t="shared" si="16"/>
        <v>0.67</v>
      </c>
      <c r="R21" s="5">
        <f t="shared" si="17"/>
        <v>0</v>
      </c>
      <c r="S21" s="5">
        <f t="shared" si="18"/>
        <v>0.67</v>
      </c>
      <c r="T21" s="5">
        <f t="shared" si="19"/>
        <v>2</v>
      </c>
      <c r="U21" s="5">
        <f t="shared" si="20"/>
        <v>2</v>
      </c>
    </row>
    <row r="22">
      <c r="A22" s="1" t="s">
        <v>20</v>
      </c>
      <c r="B22" s="5" t="str">
        <f t="shared" si="21"/>
        <v>#ERROR!</v>
      </c>
      <c r="C22" s="5">
        <f t="shared" si="2"/>
        <v>51</v>
      </c>
      <c r="D22" s="5">
        <f t="shared" si="3"/>
        <v>10</v>
      </c>
      <c r="E22" s="5">
        <f t="shared" si="4"/>
        <v>3</v>
      </c>
      <c r="F22" s="5">
        <f t="shared" si="5"/>
        <v>13</v>
      </c>
      <c r="G22" s="5">
        <f t="shared" si="6"/>
        <v>196</v>
      </c>
      <c r="H22" s="7" t="str">
        <f t="shared" si="7"/>
        <v>#ERROR!</v>
      </c>
      <c r="I22" s="5">
        <f t="shared" si="8"/>
        <v>197</v>
      </c>
      <c r="J22" s="7" t="str">
        <f t="shared" si="9"/>
        <v>#ERROR!</v>
      </c>
      <c r="K22" s="7" t="str">
        <f t="shared" si="10"/>
        <v>#ERROR!</v>
      </c>
      <c r="L22" s="7" t="str">
        <f t="shared" si="11"/>
        <v>#ERROR!</v>
      </c>
      <c r="M22" s="8" t="str">
        <f t="shared" si="12"/>
        <v>#ERROR!</v>
      </c>
      <c r="N22" s="8" t="str">
        <f t="shared" si="13"/>
        <v>#ERROR!</v>
      </c>
      <c r="O22" s="8" t="str">
        <f t="shared" si="14"/>
        <v>#ERROR!</v>
      </c>
      <c r="P22" s="8" t="str">
        <f t="shared" si="15"/>
        <v>#ERROR!</v>
      </c>
      <c r="Q22" s="5">
        <f t="shared" si="16"/>
        <v>3.1</v>
      </c>
      <c r="R22" s="5">
        <f t="shared" si="17"/>
        <v>1.46</v>
      </c>
      <c r="S22" s="5">
        <f t="shared" si="18"/>
        <v>1.64</v>
      </c>
      <c r="T22" s="5">
        <f t="shared" si="19"/>
        <v>3</v>
      </c>
      <c r="U22" s="5">
        <f t="shared" si="20"/>
        <v>4</v>
      </c>
    </row>
    <row r="23">
      <c r="A23" s="1" t="s">
        <v>35</v>
      </c>
      <c r="B23" s="5">
        <f t="shared" si="21"/>
        <v>10</v>
      </c>
      <c r="C23" s="5">
        <f t="shared" si="2"/>
        <v>8</v>
      </c>
      <c r="D23" s="5">
        <f t="shared" si="3"/>
        <v>4</v>
      </c>
      <c r="E23" s="5">
        <f t="shared" si="4"/>
        <v>1</v>
      </c>
      <c r="F23" s="5">
        <f t="shared" si="5"/>
        <v>5</v>
      </c>
      <c r="G23" s="5">
        <f t="shared" si="6"/>
        <v>68</v>
      </c>
      <c r="H23" s="7">
        <f t="shared" si="7"/>
        <v>6.8</v>
      </c>
      <c r="I23" s="5" t="str">
        <f t="shared" si="8"/>
        <v>#ERROR!</v>
      </c>
      <c r="J23" s="7" t="str">
        <f t="shared" si="9"/>
        <v>#ERROR!</v>
      </c>
      <c r="K23" s="7" t="str">
        <f t="shared" si="10"/>
        <v>#ERROR!</v>
      </c>
      <c r="L23" s="7">
        <f t="shared" si="11"/>
        <v>0.8</v>
      </c>
      <c r="M23" s="8">
        <f t="shared" si="12"/>
        <v>0.4</v>
      </c>
      <c r="N23" s="8">
        <f t="shared" si="13"/>
        <v>0.1</v>
      </c>
      <c r="O23" s="8">
        <f t="shared" si="14"/>
        <v>0.5</v>
      </c>
      <c r="P23" s="8">
        <f t="shared" si="15"/>
        <v>0.2040816327</v>
      </c>
      <c r="Q23" s="5">
        <f t="shared" si="16"/>
        <v>0.75</v>
      </c>
      <c r="R23" s="5">
        <f t="shared" si="17"/>
        <v>0.8</v>
      </c>
      <c r="S23" s="5">
        <f t="shared" si="18"/>
        <v>-0.05</v>
      </c>
      <c r="T23" s="5">
        <f t="shared" si="19"/>
        <v>3</v>
      </c>
      <c r="U23" s="5">
        <f t="shared" si="20"/>
        <v>2</v>
      </c>
    </row>
    <row r="24">
      <c r="A24" s="1" t="s">
        <v>24</v>
      </c>
      <c r="B24" s="5">
        <f t="shared" si="21"/>
        <v>17</v>
      </c>
      <c r="C24" s="5">
        <f t="shared" si="2"/>
        <v>20</v>
      </c>
      <c r="D24" s="5">
        <f t="shared" si="3"/>
        <v>7</v>
      </c>
      <c r="E24" s="5">
        <f t="shared" si="4"/>
        <v>0</v>
      </c>
      <c r="F24" s="5">
        <f t="shared" si="5"/>
        <v>9</v>
      </c>
      <c r="G24" s="5">
        <f t="shared" si="6"/>
        <v>119</v>
      </c>
      <c r="H24" s="7">
        <f t="shared" si="7"/>
        <v>7</v>
      </c>
      <c r="I24" s="5">
        <f t="shared" si="8"/>
        <v>120</v>
      </c>
      <c r="J24" s="7">
        <f t="shared" si="9"/>
        <v>7.058823529</v>
      </c>
      <c r="K24" s="7">
        <f t="shared" si="10"/>
        <v>-0.05882352941</v>
      </c>
      <c r="L24" s="7">
        <f t="shared" si="11"/>
        <v>1.176470588</v>
      </c>
      <c r="M24" s="8">
        <f t="shared" si="12"/>
        <v>0.4117647059</v>
      </c>
      <c r="N24" s="8">
        <f t="shared" si="13"/>
        <v>0</v>
      </c>
      <c r="O24" s="8">
        <f t="shared" si="14"/>
        <v>0.5294117647</v>
      </c>
      <c r="P24" s="8">
        <f t="shared" si="15"/>
        <v>0.3469387755</v>
      </c>
      <c r="Q24" s="5">
        <f t="shared" si="16"/>
        <v>1.14</v>
      </c>
      <c r="R24" s="5">
        <f t="shared" si="17"/>
        <v>1.11</v>
      </c>
      <c r="S24" s="5">
        <f t="shared" si="18"/>
        <v>0.03</v>
      </c>
      <c r="T24" s="5">
        <f t="shared" si="19"/>
        <v>2</v>
      </c>
      <c r="U24" s="5">
        <f t="shared" si="20"/>
        <v>4</v>
      </c>
    </row>
    <row r="25">
      <c r="A25" s="1" t="s">
        <v>81</v>
      </c>
      <c r="B25" s="5">
        <f t="shared" si="21"/>
        <v>6</v>
      </c>
      <c r="C25" s="5">
        <f t="shared" si="2"/>
        <v>3</v>
      </c>
      <c r="D25" s="5">
        <f t="shared" si="3"/>
        <v>3</v>
      </c>
      <c r="E25" s="5">
        <f t="shared" si="4"/>
        <v>0</v>
      </c>
      <c r="F25" s="5">
        <f t="shared" si="5"/>
        <v>3</v>
      </c>
      <c r="G25" s="5">
        <f t="shared" si="6"/>
        <v>51</v>
      </c>
      <c r="H25" s="7">
        <f t="shared" si="7"/>
        <v>8.5</v>
      </c>
      <c r="I25" s="5">
        <f t="shared" si="8"/>
        <v>56</v>
      </c>
      <c r="J25" s="7">
        <f t="shared" si="9"/>
        <v>9.333333333</v>
      </c>
      <c r="K25" s="7">
        <f t="shared" si="10"/>
        <v>-0.8333333333</v>
      </c>
      <c r="L25" s="7">
        <f t="shared" si="11"/>
        <v>0.5</v>
      </c>
      <c r="M25" s="8">
        <f t="shared" si="12"/>
        <v>0.5</v>
      </c>
      <c r="N25" s="8">
        <f t="shared" si="13"/>
        <v>0</v>
      </c>
      <c r="O25" s="8">
        <f t="shared" si="14"/>
        <v>0.5</v>
      </c>
      <c r="P25" s="8">
        <f t="shared" si="15"/>
        <v>0.1224489796</v>
      </c>
      <c r="Q25" s="5">
        <f t="shared" si="16"/>
        <v>0.33</v>
      </c>
      <c r="R25" s="5">
        <f t="shared" si="17"/>
        <v>0.67</v>
      </c>
      <c r="S25" s="5">
        <f t="shared" si="18"/>
        <v>-0.34</v>
      </c>
      <c r="T25" s="5" t="str">
        <f t="shared" si="19"/>
        <v>#ERROR!</v>
      </c>
      <c r="U25" s="5" t="str">
        <f t="shared" si="20"/>
        <v>#ERROR!</v>
      </c>
    </row>
    <row r="26">
      <c r="A26" s="1" t="s">
        <v>66</v>
      </c>
      <c r="B26" s="5">
        <f t="shared" si="21"/>
        <v>10</v>
      </c>
      <c r="C26" s="5">
        <f t="shared" si="2"/>
        <v>11</v>
      </c>
      <c r="D26" s="5">
        <f t="shared" si="3"/>
        <v>4</v>
      </c>
      <c r="E26" s="5">
        <f t="shared" si="4"/>
        <v>0</v>
      </c>
      <c r="F26" s="5">
        <f t="shared" si="5"/>
        <v>5</v>
      </c>
      <c r="G26" s="5">
        <f t="shared" si="6"/>
        <v>76</v>
      </c>
      <c r="H26" s="7">
        <f t="shared" si="7"/>
        <v>7.6</v>
      </c>
      <c r="I26" s="5">
        <f t="shared" si="8"/>
        <v>84</v>
      </c>
      <c r="J26" s="7">
        <f t="shared" si="9"/>
        <v>8.4</v>
      </c>
      <c r="K26" s="7">
        <f t="shared" si="10"/>
        <v>-0.8</v>
      </c>
      <c r="L26" s="7">
        <f t="shared" si="11"/>
        <v>1.1</v>
      </c>
      <c r="M26" s="8">
        <f t="shared" si="12"/>
        <v>0.4</v>
      </c>
      <c r="N26" s="8">
        <f t="shared" si="13"/>
        <v>0</v>
      </c>
      <c r="O26" s="8">
        <f t="shared" si="14"/>
        <v>0.5</v>
      </c>
      <c r="P26" s="8">
        <f t="shared" si="15"/>
        <v>0.2040816327</v>
      </c>
      <c r="Q26" s="5">
        <f t="shared" si="16"/>
        <v>1.25</v>
      </c>
      <c r="R26" s="5">
        <f t="shared" si="17"/>
        <v>0.8</v>
      </c>
      <c r="S26" s="5">
        <f t="shared" si="18"/>
        <v>0.45</v>
      </c>
      <c r="T26" s="5">
        <f t="shared" si="19"/>
        <v>2</v>
      </c>
      <c r="U26" s="5">
        <f t="shared" si="20"/>
        <v>3</v>
      </c>
    </row>
    <row r="27">
      <c r="A27" s="1" t="s">
        <v>220</v>
      </c>
      <c r="B27" s="5">
        <f t="shared" si="21"/>
        <v>0</v>
      </c>
      <c r="C27" s="5">
        <f t="shared" si="2"/>
        <v>0</v>
      </c>
      <c r="D27" s="5">
        <f t="shared" si="3"/>
        <v>0</v>
      </c>
      <c r="E27" s="5">
        <f t="shared" si="4"/>
        <v>0</v>
      </c>
      <c r="F27" s="5">
        <f t="shared" si="5"/>
        <v>0</v>
      </c>
      <c r="G27" s="5">
        <f t="shared" si="6"/>
        <v>0</v>
      </c>
      <c r="H27" s="7" t="str">
        <f t="shared" si="7"/>
        <v>#DIV/0!</v>
      </c>
      <c r="I27" s="5">
        <f t="shared" si="8"/>
        <v>0</v>
      </c>
      <c r="J27" s="7" t="str">
        <f t="shared" si="9"/>
        <v>#DIV/0!</v>
      </c>
      <c r="K27" s="7" t="str">
        <f t="shared" si="10"/>
        <v>#DIV/0!</v>
      </c>
      <c r="L27" s="7" t="str">
        <f t="shared" si="11"/>
        <v>#DIV/0!</v>
      </c>
      <c r="M27" s="8" t="str">
        <f t="shared" si="12"/>
        <v>#DIV/0!</v>
      </c>
      <c r="N27" s="8" t="str">
        <f t="shared" si="13"/>
        <v>#DIV/0!</v>
      </c>
      <c r="O27" s="8" t="str">
        <f t="shared" si="14"/>
        <v>#DIV/0!</v>
      </c>
      <c r="P27" s="8">
        <f t="shared" si="15"/>
        <v>0</v>
      </c>
      <c r="Q27" s="5">
        <f t="shared" si="16"/>
        <v>0</v>
      </c>
      <c r="R27" s="5">
        <f t="shared" si="17"/>
        <v>0</v>
      </c>
      <c r="S27" s="5">
        <f t="shared" si="18"/>
        <v>0</v>
      </c>
      <c r="T27" s="5">
        <f t="shared" si="19"/>
        <v>0</v>
      </c>
      <c r="U27" s="5">
        <f t="shared" si="20"/>
        <v>0</v>
      </c>
    </row>
    <row r="28">
      <c r="A28" s="1" t="s">
        <v>9</v>
      </c>
      <c r="B28" s="5">
        <f t="shared" si="21"/>
        <v>33</v>
      </c>
      <c r="C28" s="5">
        <f t="shared" si="2"/>
        <v>52</v>
      </c>
      <c r="D28" s="5">
        <f t="shared" si="3"/>
        <v>14</v>
      </c>
      <c r="E28" s="5">
        <f t="shared" si="4"/>
        <v>2</v>
      </c>
      <c r="F28" s="5">
        <f t="shared" si="5"/>
        <v>16</v>
      </c>
      <c r="G28" s="5">
        <f t="shared" si="6"/>
        <v>246</v>
      </c>
      <c r="H28" s="7">
        <f t="shared" si="7"/>
        <v>7.454545455</v>
      </c>
      <c r="I28" s="5">
        <f t="shared" si="8"/>
        <v>255</v>
      </c>
      <c r="J28" s="7">
        <f t="shared" si="9"/>
        <v>7.727272727</v>
      </c>
      <c r="K28" s="7">
        <f t="shared" si="10"/>
        <v>-0.2727272727</v>
      </c>
      <c r="L28" s="7">
        <f t="shared" si="11"/>
        <v>1.575757576</v>
      </c>
      <c r="M28" s="8">
        <f t="shared" si="12"/>
        <v>0.4242424242</v>
      </c>
      <c r="N28" s="8">
        <f t="shared" si="13"/>
        <v>0.06060606061</v>
      </c>
      <c r="O28" s="8">
        <f t="shared" si="14"/>
        <v>0.4848484848</v>
      </c>
      <c r="P28" s="8">
        <f t="shared" si="15"/>
        <v>0.6734693878</v>
      </c>
      <c r="Q28" s="5" t="str">
        <f t="shared" si="16"/>
        <v>#ERROR!</v>
      </c>
      <c r="R28" s="5">
        <f t="shared" si="17"/>
        <v>1</v>
      </c>
      <c r="S28" s="5" t="str">
        <f t="shared" si="18"/>
        <v>#ERROR!</v>
      </c>
      <c r="T28" s="5">
        <f t="shared" si="19"/>
        <v>5</v>
      </c>
      <c r="U28" s="5">
        <f t="shared" si="20"/>
        <v>4</v>
      </c>
    </row>
    <row r="29">
      <c r="A29" s="1" t="s">
        <v>43</v>
      </c>
      <c r="B29" s="5">
        <f t="shared" si="21"/>
        <v>1</v>
      </c>
      <c r="C29" s="5">
        <f t="shared" si="2"/>
        <v>0</v>
      </c>
      <c r="D29" s="5">
        <f t="shared" si="3"/>
        <v>0</v>
      </c>
      <c r="E29" s="5">
        <f t="shared" si="4"/>
        <v>0</v>
      </c>
      <c r="F29" s="5">
        <f t="shared" si="5"/>
        <v>1</v>
      </c>
      <c r="G29" s="5">
        <f t="shared" si="6"/>
        <v>8</v>
      </c>
      <c r="H29" s="7">
        <f t="shared" si="7"/>
        <v>8</v>
      </c>
      <c r="I29" s="5">
        <f t="shared" si="8"/>
        <v>10</v>
      </c>
      <c r="J29" s="7">
        <f t="shared" si="9"/>
        <v>10</v>
      </c>
      <c r="K29" s="7">
        <f t="shared" si="10"/>
        <v>-2</v>
      </c>
      <c r="L29" s="7">
        <f t="shared" si="11"/>
        <v>0</v>
      </c>
      <c r="M29" s="8">
        <f t="shared" si="12"/>
        <v>0</v>
      </c>
      <c r="N29" s="8">
        <f t="shared" si="13"/>
        <v>0</v>
      </c>
      <c r="O29" s="8">
        <f t="shared" si="14"/>
        <v>1</v>
      </c>
      <c r="P29" s="8">
        <f t="shared" si="15"/>
        <v>0.02040816327</v>
      </c>
      <c r="Q29" s="5">
        <f t="shared" si="16"/>
        <v>0</v>
      </c>
      <c r="R29" s="5">
        <f t="shared" si="17"/>
        <v>0</v>
      </c>
      <c r="S29" s="5">
        <f t="shared" si="18"/>
        <v>0</v>
      </c>
      <c r="T29" s="5">
        <f t="shared" si="19"/>
        <v>0</v>
      </c>
      <c r="U29" s="5">
        <f t="shared" si="20"/>
        <v>1</v>
      </c>
    </row>
    <row r="30">
      <c r="A30" s="1" t="s">
        <v>27</v>
      </c>
      <c r="B30" s="5">
        <f t="shared" si="21"/>
        <v>10</v>
      </c>
      <c r="C30" s="5">
        <f t="shared" si="2"/>
        <v>33</v>
      </c>
      <c r="D30" s="5">
        <f t="shared" si="3"/>
        <v>5</v>
      </c>
      <c r="E30" s="5">
        <f t="shared" si="4"/>
        <v>2</v>
      </c>
      <c r="F30" s="5">
        <f t="shared" si="5"/>
        <v>3</v>
      </c>
      <c r="G30" s="5">
        <f t="shared" si="6"/>
        <v>84</v>
      </c>
      <c r="H30" s="7">
        <f t="shared" si="7"/>
        <v>8.4</v>
      </c>
      <c r="I30" s="5">
        <f t="shared" si="8"/>
        <v>78</v>
      </c>
      <c r="J30" s="7">
        <f t="shared" si="9"/>
        <v>7.8</v>
      </c>
      <c r="K30" s="7">
        <f t="shared" si="10"/>
        <v>0.6</v>
      </c>
      <c r="L30" s="7">
        <f t="shared" si="11"/>
        <v>3.3</v>
      </c>
      <c r="M30" s="8">
        <f t="shared" si="12"/>
        <v>0.5</v>
      </c>
      <c r="N30" s="8">
        <f t="shared" si="13"/>
        <v>0.2</v>
      </c>
      <c r="O30" s="8">
        <f t="shared" si="14"/>
        <v>0.3</v>
      </c>
      <c r="P30" s="8">
        <f t="shared" si="15"/>
        <v>0.2040816327</v>
      </c>
      <c r="Q30" s="5">
        <f t="shared" si="16"/>
        <v>4.2</v>
      </c>
      <c r="R30" s="5">
        <f t="shared" si="17"/>
        <v>1.67</v>
      </c>
      <c r="S30" s="5">
        <f t="shared" si="18"/>
        <v>2.53</v>
      </c>
      <c r="T30" s="5">
        <f t="shared" si="19"/>
        <v>3</v>
      </c>
      <c r="U30" s="5">
        <f t="shared" si="20"/>
        <v>1</v>
      </c>
    </row>
    <row r="31">
      <c r="A31" s="1" t="s">
        <v>62</v>
      </c>
      <c r="B31" s="5">
        <f t="shared" si="21"/>
        <v>5</v>
      </c>
      <c r="C31" s="5">
        <f t="shared" si="2"/>
        <v>5</v>
      </c>
      <c r="D31" s="5">
        <f t="shared" si="3"/>
        <v>1</v>
      </c>
      <c r="E31" s="5">
        <f t="shared" si="4"/>
        <v>1</v>
      </c>
      <c r="F31" s="5">
        <f t="shared" si="5"/>
        <v>3</v>
      </c>
      <c r="G31" s="5" t="str">
        <f t="shared" si="6"/>
        <v>#ERROR!</v>
      </c>
      <c r="H31" s="7" t="str">
        <f t="shared" si="7"/>
        <v>#ERROR!</v>
      </c>
      <c r="I31" s="5">
        <f t="shared" si="8"/>
        <v>49</v>
      </c>
      <c r="J31" s="7">
        <f t="shared" si="9"/>
        <v>9.8</v>
      </c>
      <c r="K31" s="7" t="str">
        <f t="shared" si="10"/>
        <v>#ERROR!</v>
      </c>
      <c r="L31" s="7">
        <f t="shared" si="11"/>
        <v>1</v>
      </c>
      <c r="M31" s="8">
        <f t="shared" si="12"/>
        <v>0.2</v>
      </c>
      <c r="N31" s="8">
        <f t="shared" si="13"/>
        <v>0.2</v>
      </c>
      <c r="O31" s="8">
        <f t="shared" si="14"/>
        <v>0.6</v>
      </c>
      <c r="P31" s="8">
        <f t="shared" si="15"/>
        <v>0.1020408163</v>
      </c>
      <c r="Q31" s="5">
        <f t="shared" si="16"/>
        <v>0</v>
      </c>
      <c r="R31" s="5">
        <f t="shared" si="17"/>
        <v>1</v>
      </c>
      <c r="S31" s="5">
        <f t="shared" si="18"/>
        <v>-1</v>
      </c>
      <c r="T31" s="5">
        <f t="shared" si="19"/>
        <v>1</v>
      </c>
      <c r="U31" s="5">
        <f t="shared" si="20"/>
        <v>2</v>
      </c>
    </row>
    <row r="32">
      <c r="A32" s="1" t="s">
        <v>72</v>
      </c>
      <c r="B32" s="5">
        <f t="shared" si="21"/>
        <v>4</v>
      </c>
      <c r="C32" s="5">
        <f t="shared" si="2"/>
        <v>5</v>
      </c>
      <c r="D32" s="5">
        <f t="shared" si="3"/>
        <v>2</v>
      </c>
      <c r="E32" s="5">
        <f t="shared" si="4"/>
        <v>0</v>
      </c>
      <c r="F32" s="5">
        <f t="shared" si="5"/>
        <v>1</v>
      </c>
      <c r="G32" s="5">
        <f t="shared" si="6"/>
        <v>29</v>
      </c>
      <c r="H32" s="7">
        <f t="shared" si="7"/>
        <v>7.25</v>
      </c>
      <c r="I32" s="5">
        <f t="shared" si="8"/>
        <v>21</v>
      </c>
      <c r="J32" s="7">
        <f t="shared" si="9"/>
        <v>5.25</v>
      </c>
      <c r="K32" s="7">
        <f t="shared" si="10"/>
        <v>2</v>
      </c>
      <c r="L32" s="7">
        <f t="shared" si="11"/>
        <v>1.25</v>
      </c>
      <c r="M32" s="8">
        <f t="shared" si="12"/>
        <v>0.5</v>
      </c>
      <c r="N32" s="8">
        <f t="shared" si="13"/>
        <v>0</v>
      </c>
      <c r="O32" s="8">
        <f t="shared" si="14"/>
        <v>0.25</v>
      </c>
      <c r="P32" s="8">
        <f t="shared" si="15"/>
        <v>0.08163265306</v>
      </c>
      <c r="Q32" s="5">
        <f t="shared" si="16"/>
        <v>1</v>
      </c>
      <c r="R32" s="5">
        <f t="shared" si="17"/>
        <v>2</v>
      </c>
      <c r="S32" s="5">
        <f t="shared" si="18"/>
        <v>-1</v>
      </c>
      <c r="T32" s="5">
        <f t="shared" si="19"/>
        <v>2</v>
      </c>
      <c r="U32" s="5">
        <f t="shared" si="20"/>
        <v>1</v>
      </c>
    </row>
    <row r="33">
      <c r="A33" s="1" t="s">
        <v>23</v>
      </c>
      <c r="B33" s="5">
        <f t="shared" si="21"/>
        <v>3</v>
      </c>
      <c r="C33" s="5">
        <f t="shared" si="2"/>
        <v>4</v>
      </c>
      <c r="D33" s="5" t="str">
        <f t="shared" si="3"/>
        <v>#ERROR!</v>
      </c>
      <c r="E33" s="5">
        <f t="shared" si="4"/>
        <v>0</v>
      </c>
      <c r="F33" s="5">
        <f t="shared" si="5"/>
        <v>3</v>
      </c>
      <c r="G33" s="5">
        <f t="shared" si="6"/>
        <v>17</v>
      </c>
      <c r="H33" s="7">
        <f t="shared" si="7"/>
        <v>5.666666667</v>
      </c>
      <c r="I33" s="5">
        <f t="shared" si="8"/>
        <v>34</v>
      </c>
      <c r="J33" s="7">
        <f t="shared" si="9"/>
        <v>11.33333333</v>
      </c>
      <c r="K33" s="7">
        <f t="shared" si="10"/>
        <v>-5.666666667</v>
      </c>
      <c r="L33" s="7">
        <f t="shared" si="11"/>
        <v>1.333333333</v>
      </c>
      <c r="M33" s="8" t="str">
        <f t="shared" si="12"/>
        <v>#ERROR!</v>
      </c>
      <c r="N33" s="8">
        <f t="shared" si="13"/>
        <v>0</v>
      </c>
      <c r="O33" s="8">
        <f t="shared" si="14"/>
        <v>1</v>
      </c>
      <c r="P33" s="8">
        <f t="shared" si="15"/>
        <v>0.0612244898</v>
      </c>
      <c r="Q33" s="5">
        <f t="shared" si="16"/>
        <v>0</v>
      </c>
      <c r="R33" s="5">
        <f t="shared" si="17"/>
        <v>1.33</v>
      </c>
      <c r="S33" s="5">
        <f t="shared" si="18"/>
        <v>-1.33</v>
      </c>
      <c r="T33" s="5">
        <f t="shared" si="19"/>
        <v>0</v>
      </c>
      <c r="U33" s="5">
        <f t="shared" si="20"/>
        <v>3</v>
      </c>
    </row>
    <row r="34">
      <c r="A34" s="1" t="s">
        <v>22</v>
      </c>
      <c r="B34" s="5">
        <f t="shared" si="21"/>
        <v>4</v>
      </c>
      <c r="C34" s="5">
        <f t="shared" si="2"/>
        <v>10</v>
      </c>
      <c r="D34" s="5">
        <f t="shared" si="3"/>
        <v>1</v>
      </c>
      <c r="E34" s="5">
        <f t="shared" si="4"/>
        <v>1</v>
      </c>
      <c r="F34" s="5">
        <f t="shared" si="5"/>
        <v>2</v>
      </c>
      <c r="G34" s="5">
        <f t="shared" si="6"/>
        <v>29</v>
      </c>
      <c r="H34" s="7">
        <f t="shared" si="7"/>
        <v>7.25</v>
      </c>
      <c r="I34" s="5">
        <f t="shared" si="8"/>
        <v>37</v>
      </c>
      <c r="J34" s="7">
        <f t="shared" si="9"/>
        <v>9.25</v>
      </c>
      <c r="K34" s="7">
        <f t="shared" si="10"/>
        <v>-2</v>
      </c>
      <c r="L34" s="7">
        <f t="shared" si="11"/>
        <v>2.5</v>
      </c>
      <c r="M34" s="8">
        <f t="shared" si="12"/>
        <v>0.25</v>
      </c>
      <c r="N34" s="8">
        <f t="shared" si="13"/>
        <v>0.25</v>
      </c>
      <c r="O34" s="8">
        <f t="shared" si="14"/>
        <v>0.5</v>
      </c>
      <c r="P34" s="8">
        <f t="shared" si="15"/>
        <v>0.08163265306</v>
      </c>
      <c r="Q34" s="5">
        <f t="shared" si="16"/>
        <v>1</v>
      </c>
      <c r="R34" s="5">
        <f t="shared" si="17"/>
        <v>3</v>
      </c>
      <c r="S34" s="5">
        <f t="shared" si="18"/>
        <v>-2</v>
      </c>
      <c r="T34" s="5">
        <f t="shared" si="19"/>
        <v>1</v>
      </c>
      <c r="U34" s="5">
        <f t="shared" si="20"/>
        <v>1</v>
      </c>
    </row>
    <row r="35">
      <c r="C35" s="5" t="str">
        <f>sum(C2:C34)</f>
        <v>#ERROR!</v>
      </c>
      <c r="H35" s="7"/>
      <c r="J35" s="7"/>
      <c r="K35" s="7"/>
    </row>
    <row r="36">
      <c r="H36" s="7"/>
      <c r="J36" s="7"/>
      <c r="K36" s="7"/>
    </row>
    <row r="37">
      <c r="H37" s="7"/>
      <c r="J37" s="7"/>
      <c r="K37" s="7"/>
    </row>
    <row r="38">
      <c r="H38" s="7"/>
      <c r="J38" s="7"/>
      <c r="K38" s="7"/>
    </row>
    <row r="39">
      <c r="H39" s="7"/>
      <c r="J39" s="7"/>
      <c r="K39" s="7"/>
    </row>
    <row r="40">
      <c r="H40" s="7"/>
      <c r="J40" s="7"/>
      <c r="K40" s="7"/>
    </row>
    <row r="41">
      <c r="H41" s="7"/>
      <c r="J41" s="7"/>
      <c r="K41" s="7"/>
    </row>
    <row r="42">
      <c r="H42" s="7"/>
      <c r="J42" s="7"/>
      <c r="K42" s="7"/>
    </row>
    <row r="43">
      <c r="H43" s="7"/>
      <c r="J43" s="7"/>
      <c r="K43" s="7"/>
    </row>
    <row r="44">
      <c r="A44" s="1" t="s">
        <v>221</v>
      </c>
      <c r="H44" s="7"/>
      <c r="J44" s="7"/>
      <c r="K44" s="7"/>
    </row>
    <row r="45">
      <c r="H45" s="7"/>
      <c r="J45" s="7"/>
      <c r="K45" s="7"/>
    </row>
    <row r="46">
      <c r="H46" s="7"/>
      <c r="J46" s="7"/>
      <c r="K46" s="7"/>
    </row>
    <row r="47">
      <c r="H47" s="7"/>
      <c r="J47" s="7"/>
      <c r="K47" s="7"/>
    </row>
    <row r="48">
      <c r="H48" s="7"/>
      <c r="J48" s="7"/>
      <c r="K48" s="7"/>
    </row>
    <row r="49">
      <c r="H49" s="7"/>
      <c r="J49" s="7"/>
      <c r="K49" s="7"/>
    </row>
    <row r="50">
      <c r="H50" s="7"/>
      <c r="J50" s="7"/>
      <c r="K50" s="7"/>
    </row>
    <row r="51">
      <c r="H51" s="7"/>
      <c r="J51" s="7"/>
      <c r="K51" s="7"/>
    </row>
    <row r="52">
      <c r="H52" s="7"/>
      <c r="J52" s="7"/>
      <c r="K52" s="7"/>
    </row>
    <row r="53">
      <c r="H53" s="7"/>
      <c r="J53" s="7"/>
      <c r="K53" s="7"/>
    </row>
    <row r="54">
      <c r="H54" s="7"/>
      <c r="J54" s="7"/>
      <c r="K54" s="7"/>
    </row>
    <row r="55">
      <c r="H55" s="7"/>
      <c r="J55" s="7"/>
      <c r="K55" s="7"/>
    </row>
    <row r="56">
      <c r="H56" s="7"/>
      <c r="J56" s="7"/>
      <c r="K56" s="7"/>
    </row>
    <row r="57">
      <c r="H57" s="7"/>
      <c r="J57" s="7"/>
      <c r="K57" s="7"/>
    </row>
    <row r="58">
      <c r="H58" s="7"/>
      <c r="J58" s="7"/>
      <c r="K58" s="7"/>
    </row>
    <row r="59">
      <c r="H59" s="7"/>
      <c r="J59" s="7"/>
      <c r="K59" s="7"/>
    </row>
    <row r="60">
      <c r="H60" s="7"/>
      <c r="J60" s="7"/>
      <c r="K60" s="7"/>
    </row>
    <row r="61">
      <c r="H61" s="7"/>
      <c r="J61" s="7"/>
      <c r="K61" s="7"/>
    </row>
    <row r="62">
      <c r="H62" s="7"/>
      <c r="J62" s="7"/>
      <c r="K62" s="7"/>
    </row>
    <row r="63">
      <c r="H63" s="7"/>
      <c r="J63" s="7"/>
      <c r="K63" s="7"/>
    </row>
    <row r="64">
      <c r="H64" s="7"/>
      <c r="J64" s="7"/>
      <c r="K64" s="7"/>
    </row>
    <row r="65">
      <c r="H65" s="7"/>
      <c r="J65" s="7"/>
      <c r="K65" s="7"/>
    </row>
    <row r="66">
      <c r="H66" s="7"/>
      <c r="J66" s="7"/>
      <c r="K66" s="7"/>
    </row>
    <row r="67">
      <c r="H67" s="7"/>
      <c r="J67" s="7"/>
      <c r="K67" s="7"/>
    </row>
    <row r="68">
      <c r="H68" s="7"/>
      <c r="J68" s="7"/>
      <c r="K68" s="7"/>
    </row>
    <row r="69">
      <c r="H69" s="7"/>
      <c r="J69" s="7"/>
      <c r="K69" s="7"/>
    </row>
    <row r="70">
      <c r="H70" s="7"/>
      <c r="J70" s="7"/>
      <c r="K70" s="7"/>
    </row>
    <row r="71">
      <c r="H71" s="7"/>
      <c r="J71" s="7"/>
      <c r="K71" s="7"/>
    </row>
    <row r="72">
      <c r="H72" s="7"/>
      <c r="J72" s="7"/>
      <c r="K72" s="7"/>
    </row>
    <row r="73">
      <c r="H73" s="7"/>
      <c r="J73" s="7"/>
      <c r="K73" s="7"/>
    </row>
    <row r="74">
      <c r="H74" s="7"/>
      <c r="J74" s="7"/>
      <c r="K74" s="7"/>
    </row>
    <row r="75">
      <c r="H75" s="7"/>
      <c r="J75" s="7"/>
      <c r="K75" s="7"/>
    </row>
    <row r="76">
      <c r="H76" s="7"/>
      <c r="J76" s="7"/>
      <c r="K76" s="7"/>
    </row>
    <row r="77">
      <c r="H77" s="7"/>
      <c r="J77" s="7"/>
      <c r="K77" s="7"/>
    </row>
    <row r="78">
      <c r="H78" s="7"/>
      <c r="J78" s="7"/>
      <c r="K78" s="7"/>
    </row>
    <row r="79">
      <c r="H79" s="7"/>
      <c r="J79" s="7"/>
      <c r="K79" s="7"/>
    </row>
    <row r="80">
      <c r="H80" s="7"/>
      <c r="J80" s="7"/>
      <c r="K80" s="7"/>
    </row>
    <row r="81">
      <c r="H81" s="7"/>
      <c r="J81" s="7"/>
      <c r="K81" s="7"/>
    </row>
    <row r="82">
      <c r="H82" s="7"/>
      <c r="J82" s="7"/>
      <c r="K82" s="7"/>
    </row>
    <row r="83">
      <c r="H83" s="7"/>
      <c r="J83" s="7"/>
      <c r="K83" s="7"/>
    </row>
    <row r="84">
      <c r="H84" s="7"/>
      <c r="J84" s="7"/>
      <c r="K84" s="7"/>
    </row>
    <row r="85">
      <c r="H85" s="7"/>
      <c r="J85" s="7"/>
      <c r="K85" s="7"/>
    </row>
    <row r="86">
      <c r="H86" s="7"/>
      <c r="J86" s="7"/>
      <c r="K86" s="7"/>
    </row>
    <row r="87">
      <c r="H87" s="7"/>
      <c r="J87" s="7"/>
      <c r="K87" s="7"/>
    </row>
    <row r="88">
      <c r="H88" s="7"/>
      <c r="J88" s="7"/>
      <c r="K88" s="7"/>
    </row>
    <row r="89">
      <c r="H89" s="7"/>
      <c r="J89" s="7"/>
      <c r="K89" s="7"/>
    </row>
    <row r="90">
      <c r="H90" s="7"/>
      <c r="J90" s="7"/>
      <c r="K90" s="7"/>
    </row>
    <row r="91">
      <c r="H91" s="7"/>
      <c r="J91" s="7"/>
      <c r="K91" s="7"/>
    </row>
    <row r="92">
      <c r="H92" s="7"/>
      <c r="J92" s="7"/>
      <c r="K92" s="7"/>
    </row>
    <row r="93">
      <c r="H93" s="7"/>
      <c r="J93" s="7"/>
      <c r="K93" s="7"/>
    </row>
    <row r="94">
      <c r="H94" s="7"/>
      <c r="J94" s="7"/>
      <c r="K94" s="7"/>
    </row>
    <row r="95">
      <c r="H95" s="7"/>
      <c r="J95" s="7"/>
      <c r="K95" s="7"/>
    </row>
    <row r="96">
      <c r="H96" s="7"/>
      <c r="J96" s="7"/>
      <c r="K96" s="7"/>
    </row>
    <row r="97">
      <c r="H97" s="7"/>
      <c r="J97" s="7"/>
      <c r="K97" s="7"/>
    </row>
    <row r="98">
      <c r="H98" s="7"/>
      <c r="J98" s="7"/>
      <c r="K98" s="7"/>
    </row>
    <row r="99">
      <c r="H99" s="7"/>
      <c r="J99" s="7"/>
      <c r="K99" s="7"/>
    </row>
    <row r="100">
      <c r="H100" s="7"/>
      <c r="J100" s="7"/>
      <c r="K100" s="7"/>
    </row>
    <row r="101">
      <c r="H101" s="7"/>
      <c r="J101" s="7"/>
      <c r="K101" s="7"/>
    </row>
    <row r="102">
      <c r="H102" s="7"/>
      <c r="J102" s="7"/>
      <c r="K102" s="7"/>
    </row>
    <row r="103">
      <c r="H103" s="7"/>
      <c r="J103" s="7"/>
      <c r="K103" s="7"/>
    </row>
    <row r="104">
      <c r="H104" s="7"/>
      <c r="J104" s="7"/>
      <c r="K104" s="7"/>
    </row>
    <row r="105">
      <c r="H105" s="7"/>
      <c r="J105" s="7"/>
      <c r="K105" s="7"/>
    </row>
    <row r="106">
      <c r="H106" s="7"/>
      <c r="J106" s="7"/>
      <c r="K106" s="7"/>
    </row>
    <row r="107">
      <c r="H107" s="7"/>
      <c r="J107" s="7"/>
      <c r="K107" s="7"/>
    </row>
    <row r="108">
      <c r="H108" s="7"/>
      <c r="J108" s="7"/>
      <c r="K108" s="7"/>
    </row>
    <row r="109">
      <c r="H109" s="7"/>
      <c r="J109" s="7"/>
      <c r="K109" s="7"/>
    </row>
    <row r="110">
      <c r="H110" s="7"/>
      <c r="J110" s="7"/>
      <c r="K110" s="7"/>
    </row>
    <row r="111">
      <c r="H111" s="7"/>
      <c r="J111" s="7"/>
      <c r="K111" s="7"/>
    </row>
    <row r="112">
      <c r="H112" s="7"/>
      <c r="J112" s="7"/>
      <c r="K112" s="7"/>
    </row>
    <row r="113">
      <c r="H113" s="7"/>
      <c r="J113" s="7"/>
      <c r="K113" s="7"/>
    </row>
    <row r="114">
      <c r="H114" s="7"/>
      <c r="J114" s="7"/>
      <c r="K114" s="7"/>
    </row>
    <row r="115">
      <c r="H115" s="7"/>
      <c r="J115" s="7"/>
      <c r="K115" s="7"/>
    </row>
    <row r="116">
      <c r="H116" s="7"/>
      <c r="J116" s="7"/>
      <c r="K116" s="7"/>
    </row>
    <row r="117">
      <c r="H117" s="7"/>
      <c r="J117" s="7"/>
      <c r="K117" s="7"/>
    </row>
    <row r="118">
      <c r="H118" s="7"/>
      <c r="J118" s="7"/>
      <c r="K118" s="7"/>
    </row>
    <row r="119">
      <c r="H119" s="7"/>
      <c r="J119" s="7"/>
      <c r="K119" s="7"/>
    </row>
    <row r="120">
      <c r="H120" s="7"/>
      <c r="J120" s="7"/>
      <c r="K120" s="7"/>
    </row>
    <row r="121">
      <c r="H121" s="7"/>
      <c r="J121" s="7"/>
      <c r="K121" s="7"/>
    </row>
    <row r="122">
      <c r="H122" s="7"/>
      <c r="J122" s="7"/>
      <c r="K122" s="7"/>
    </row>
    <row r="123">
      <c r="H123" s="7"/>
      <c r="J123" s="7"/>
      <c r="K123" s="7"/>
    </row>
    <row r="124">
      <c r="H124" s="7"/>
      <c r="J124" s="7"/>
      <c r="K124" s="7"/>
    </row>
    <row r="125">
      <c r="H125" s="7"/>
      <c r="J125" s="7"/>
      <c r="K125" s="7"/>
    </row>
    <row r="126">
      <c r="H126" s="7"/>
      <c r="J126" s="7"/>
      <c r="K126" s="7"/>
    </row>
    <row r="127">
      <c r="H127" s="7"/>
      <c r="J127" s="7"/>
      <c r="K127" s="7"/>
    </row>
    <row r="128">
      <c r="H128" s="7"/>
      <c r="J128" s="7"/>
      <c r="K128" s="7"/>
    </row>
    <row r="129">
      <c r="H129" s="7"/>
      <c r="J129" s="7"/>
      <c r="K129" s="7"/>
    </row>
    <row r="130">
      <c r="H130" s="7"/>
      <c r="J130" s="7"/>
      <c r="K130" s="7"/>
    </row>
    <row r="131">
      <c r="H131" s="7"/>
      <c r="J131" s="7"/>
      <c r="K131" s="7"/>
    </row>
    <row r="132">
      <c r="H132" s="7"/>
      <c r="J132" s="7"/>
      <c r="K132" s="7"/>
    </row>
    <row r="133">
      <c r="H133" s="7"/>
      <c r="J133" s="7"/>
      <c r="K133" s="7"/>
    </row>
    <row r="134">
      <c r="H134" s="7"/>
      <c r="J134" s="7"/>
      <c r="K134" s="7"/>
    </row>
    <row r="135">
      <c r="H135" s="7"/>
      <c r="J135" s="7"/>
      <c r="K135" s="7"/>
    </row>
    <row r="136">
      <c r="H136" s="7"/>
      <c r="J136" s="7"/>
      <c r="K136" s="7"/>
    </row>
    <row r="137">
      <c r="H137" s="7"/>
      <c r="J137" s="7"/>
      <c r="K137" s="7"/>
    </row>
    <row r="138">
      <c r="H138" s="7"/>
      <c r="J138" s="7"/>
      <c r="K138" s="7"/>
    </row>
    <row r="139">
      <c r="H139" s="7"/>
      <c r="J139" s="7"/>
      <c r="K139" s="7"/>
    </row>
    <row r="140">
      <c r="H140" s="7"/>
      <c r="J140" s="7"/>
      <c r="K140" s="7"/>
    </row>
    <row r="141">
      <c r="H141" s="7"/>
      <c r="J141" s="7"/>
      <c r="K141" s="7"/>
    </row>
    <row r="142">
      <c r="H142" s="7"/>
      <c r="J142" s="7"/>
      <c r="K142" s="7"/>
    </row>
    <row r="143">
      <c r="H143" s="7"/>
      <c r="J143" s="7"/>
      <c r="K143" s="7"/>
    </row>
    <row r="144">
      <c r="H144" s="7"/>
      <c r="J144" s="7"/>
      <c r="K144" s="7"/>
    </row>
    <row r="145">
      <c r="H145" s="7"/>
      <c r="J145" s="7"/>
      <c r="K145" s="7"/>
    </row>
    <row r="146">
      <c r="H146" s="7"/>
      <c r="J146" s="7"/>
      <c r="K146" s="7"/>
    </row>
    <row r="147">
      <c r="H147" s="7"/>
      <c r="J147" s="7"/>
      <c r="K147" s="7"/>
    </row>
    <row r="148">
      <c r="H148" s="7"/>
      <c r="J148" s="7"/>
      <c r="K148" s="7"/>
    </row>
    <row r="149">
      <c r="H149" s="7"/>
      <c r="J149" s="7"/>
      <c r="K149" s="7"/>
    </row>
    <row r="150">
      <c r="H150" s="7"/>
      <c r="J150" s="7"/>
      <c r="K150" s="7"/>
    </row>
    <row r="151">
      <c r="H151" s="7"/>
      <c r="J151" s="7"/>
      <c r="K151" s="7"/>
    </row>
    <row r="152">
      <c r="H152" s="7"/>
      <c r="J152" s="7"/>
      <c r="K152" s="7"/>
    </row>
    <row r="153">
      <c r="H153" s="7"/>
      <c r="J153" s="7"/>
      <c r="K153" s="7"/>
    </row>
    <row r="154">
      <c r="H154" s="7"/>
      <c r="J154" s="7"/>
      <c r="K154" s="7"/>
    </row>
    <row r="155">
      <c r="H155" s="7"/>
      <c r="J155" s="7"/>
      <c r="K155" s="7"/>
    </row>
    <row r="156">
      <c r="H156" s="7"/>
      <c r="J156" s="7"/>
      <c r="K156" s="7"/>
    </row>
    <row r="157">
      <c r="H157" s="7"/>
      <c r="J157" s="7"/>
      <c r="K157" s="7"/>
    </row>
    <row r="158">
      <c r="H158" s="7"/>
      <c r="J158" s="7"/>
      <c r="K158" s="7"/>
    </row>
    <row r="159">
      <c r="H159" s="7"/>
      <c r="J159" s="7"/>
      <c r="K159" s="7"/>
    </row>
    <row r="160">
      <c r="H160" s="7"/>
      <c r="J160" s="7"/>
      <c r="K160" s="7"/>
    </row>
    <row r="161">
      <c r="H161" s="7"/>
      <c r="J161" s="7"/>
      <c r="K161" s="7"/>
    </row>
    <row r="162">
      <c r="H162" s="7"/>
      <c r="J162" s="7"/>
      <c r="K162" s="7"/>
    </row>
    <row r="163">
      <c r="H163" s="7"/>
      <c r="J163" s="7"/>
      <c r="K163" s="7"/>
    </row>
    <row r="164">
      <c r="H164" s="7"/>
      <c r="J164" s="7"/>
      <c r="K164" s="7"/>
    </row>
    <row r="165">
      <c r="H165" s="7"/>
      <c r="J165" s="7"/>
      <c r="K165" s="7"/>
    </row>
    <row r="166">
      <c r="H166" s="7"/>
      <c r="J166" s="7"/>
      <c r="K166" s="7"/>
    </row>
    <row r="167">
      <c r="H167" s="7"/>
      <c r="J167" s="7"/>
      <c r="K167" s="7"/>
    </row>
    <row r="168">
      <c r="H168" s="7"/>
      <c r="J168" s="7"/>
      <c r="K168" s="7"/>
    </row>
    <row r="169">
      <c r="H169" s="7"/>
      <c r="J169" s="7"/>
      <c r="K169" s="7"/>
    </row>
    <row r="170">
      <c r="H170" s="7"/>
      <c r="J170" s="7"/>
      <c r="K170" s="7"/>
    </row>
    <row r="171">
      <c r="H171" s="7"/>
      <c r="J171" s="7"/>
      <c r="K171" s="7"/>
    </row>
    <row r="172">
      <c r="H172" s="7"/>
      <c r="J172" s="7"/>
      <c r="K172" s="7"/>
    </row>
    <row r="173">
      <c r="H173" s="7"/>
      <c r="J173" s="7"/>
      <c r="K173" s="7"/>
    </row>
    <row r="174">
      <c r="H174" s="7"/>
      <c r="J174" s="7"/>
      <c r="K174" s="7"/>
    </row>
    <row r="175">
      <c r="H175" s="7"/>
      <c r="J175" s="7"/>
      <c r="K175" s="7"/>
    </row>
    <row r="176">
      <c r="H176" s="7"/>
      <c r="J176" s="7"/>
      <c r="K176" s="7"/>
    </row>
    <row r="177">
      <c r="H177" s="7"/>
      <c r="J177" s="7"/>
      <c r="K177" s="7"/>
    </row>
    <row r="178">
      <c r="H178" s="7"/>
      <c r="J178" s="7"/>
      <c r="K178" s="7"/>
    </row>
    <row r="179">
      <c r="H179" s="7"/>
      <c r="J179" s="7"/>
      <c r="K179" s="7"/>
    </row>
    <row r="180">
      <c r="H180" s="7"/>
      <c r="J180" s="7"/>
      <c r="K180" s="7"/>
    </row>
    <row r="181">
      <c r="H181" s="7"/>
      <c r="J181" s="7"/>
      <c r="K181" s="7"/>
    </row>
    <row r="182">
      <c r="H182" s="7"/>
      <c r="J182" s="7"/>
      <c r="K182" s="7"/>
    </row>
    <row r="183">
      <c r="H183" s="7"/>
      <c r="J183" s="7"/>
      <c r="K183" s="7"/>
    </row>
    <row r="184">
      <c r="H184" s="7"/>
      <c r="J184" s="7"/>
      <c r="K184" s="7"/>
    </row>
    <row r="185">
      <c r="H185" s="7"/>
      <c r="J185" s="7"/>
      <c r="K185" s="7"/>
    </row>
    <row r="186">
      <c r="H186" s="7"/>
      <c r="J186" s="7"/>
      <c r="K186" s="7"/>
    </row>
    <row r="187">
      <c r="H187" s="7"/>
      <c r="J187" s="7"/>
      <c r="K187" s="7"/>
    </row>
    <row r="188">
      <c r="H188" s="7"/>
      <c r="J188" s="7"/>
      <c r="K188" s="7"/>
    </row>
    <row r="189">
      <c r="H189" s="7"/>
      <c r="J189" s="7"/>
      <c r="K189" s="7"/>
    </row>
    <row r="190">
      <c r="H190" s="7"/>
      <c r="J190" s="7"/>
      <c r="K190" s="7"/>
    </row>
    <row r="191">
      <c r="H191" s="7"/>
      <c r="J191" s="7"/>
      <c r="K191" s="7"/>
    </row>
    <row r="192">
      <c r="H192" s="7"/>
      <c r="J192" s="7"/>
      <c r="K192" s="7"/>
    </row>
    <row r="193">
      <c r="H193" s="7"/>
      <c r="J193" s="7"/>
      <c r="K193" s="7"/>
    </row>
    <row r="194">
      <c r="H194" s="7"/>
      <c r="J194" s="7"/>
      <c r="K194" s="7"/>
    </row>
    <row r="195">
      <c r="H195" s="7"/>
      <c r="J195" s="7"/>
      <c r="K195" s="7"/>
    </row>
    <row r="196">
      <c r="H196" s="7"/>
      <c r="J196" s="7"/>
      <c r="K196" s="7"/>
    </row>
    <row r="197">
      <c r="H197" s="7"/>
      <c r="J197" s="7"/>
      <c r="K197" s="7"/>
    </row>
    <row r="198">
      <c r="H198" s="7"/>
      <c r="J198" s="7"/>
      <c r="K198" s="7"/>
    </row>
    <row r="199">
      <c r="H199" s="7"/>
      <c r="J199" s="7"/>
      <c r="K199" s="7"/>
    </row>
    <row r="200">
      <c r="H200" s="7"/>
      <c r="J200" s="7"/>
      <c r="K200" s="7"/>
    </row>
    <row r="201">
      <c r="H201" s="7"/>
      <c r="J201" s="7"/>
      <c r="K201" s="7"/>
    </row>
    <row r="202">
      <c r="H202" s="7"/>
      <c r="J202" s="7"/>
      <c r="K202" s="7"/>
    </row>
    <row r="203">
      <c r="H203" s="7"/>
      <c r="J203" s="7"/>
      <c r="K203" s="7"/>
    </row>
    <row r="204">
      <c r="H204" s="7"/>
      <c r="J204" s="7"/>
      <c r="K204" s="7"/>
    </row>
    <row r="205">
      <c r="H205" s="7"/>
      <c r="J205" s="7"/>
      <c r="K205" s="7"/>
    </row>
    <row r="206">
      <c r="H206" s="7"/>
      <c r="J206" s="7"/>
      <c r="K206" s="7"/>
    </row>
    <row r="207">
      <c r="H207" s="7"/>
      <c r="J207" s="7"/>
      <c r="K207" s="7"/>
    </row>
    <row r="208">
      <c r="H208" s="7"/>
      <c r="J208" s="7"/>
      <c r="K208" s="7"/>
    </row>
    <row r="209">
      <c r="H209" s="7"/>
      <c r="J209" s="7"/>
      <c r="K209" s="7"/>
    </row>
    <row r="210">
      <c r="H210" s="7"/>
      <c r="J210" s="7"/>
      <c r="K210" s="7"/>
    </row>
    <row r="211">
      <c r="H211" s="7"/>
      <c r="J211" s="7"/>
      <c r="K211" s="7"/>
    </row>
    <row r="212">
      <c r="H212" s="7"/>
      <c r="J212" s="7"/>
      <c r="K212" s="7"/>
    </row>
    <row r="213">
      <c r="H213" s="7"/>
      <c r="J213" s="7"/>
      <c r="K213" s="7"/>
    </row>
    <row r="214">
      <c r="H214" s="7"/>
      <c r="J214" s="7"/>
      <c r="K214" s="7"/>
    </row>
    <row r="215">
      <c r="H215" s="7"/>
      <c r="J215" s="7"/>
      <c r="K215" s="7"/>
    </row>
    <row r="216">
      <c r="H216" s="7"/>
      <c r="J216" s="7"/>
      <c r="K216" s="7"/>
    </row>
    <row r="217">
      <c r="H217" s="7"/>
      <c r="J217" s="7"/>
      <c r="K217" s="7"/>
    </row>
    <row r="218">
      <c r="H218" s="7"/>
      <c r="J218" s="7"/>
      <c r="K218" s="7"/>
    </row>
    <row r="219">
      <c r="H219" s="7"/>
      <c r="J219" s="7"/>
      <c r="K219" s="7"/>
    </row>
    <row r="220">
      <c r="H220" s="7"/>
      <c r="J220" s="7"/>
      <c r="K220" s="7"/>
    </row>
    <row r="221">
      <c r="H221" s="7"/>
      <c r="J221" s="7"/>
      <c r="K221" s="7"/>
    </row>
    <row r="222">
      <c r="H222" s="7"/>
      <c r="J222" s="7"/>
      <c r="K222" s="7"/>
    </row>
    <row r="223">
      <c r="H223" s="7"/>
      <c r="J223" s="7"/>
      <c r="K223" s="7"/>
    </row>
    <row r="224">
      <c r="H224" s="7"/>
      <c r="J224" s="7"/>
      <c r="K224" s="7"/>
    </row>
    <row r="225">
      <c r="H225" s="7"/>
      <c r="J225" s="7"/>
      <c r="K225" s="7"/>
    </row>
    <row r="226">
      <c r="H226" s="7"/>
      <c r="J226" s="7"/>
      <c r="K226" s="7"/>
    </row>
    <row r="227">
      <c r="H227" s="7"/>
      <c r="J227" s="7"/>
      <c r="K227" s="7"/>
    </row>
    <row r="228">
      <c r="H228" s="7"/>
      <c r="J228" s="7"/>
      <c r="K228" s="7"/>
    </row>
    <row r="229">
      <c r="H229" s="7"/>
      <c r="J229" s="7"/>
      <c r="K229" s="7"/>
    </row>
    <row r="230">
      <c r="H230" s="7"/>
      <c r="J230" s="7"/>
      <c r="K230" s="7"/>
    </row>
    <row r="231">
      <c r="H231" s="7"/>
      <c r="J231" s="7"/>
      <c r="K231" s="7"/>
    </row>
    <row r="232">
      <c r="H232" s="7"/>
      <c r="J232" s="7"/>
      <c r="K232" s="7"/>
    </row>
    <row r="233">
      <c r="H233" s="7"/>
      <c r="J233" s="7"/>
      <c r="K233" s="7"/>
    </row>
    <row r="234">
      <c r="H234" s="7"/>
      <c r="J234" s="7"/>
      <c r="K234" s="7"/>
    </row>
    <row r="235">
      <c r="H235" s="7"/>
      <c r="J235" s="7"/>
      <c r="K235" s="7"/>
    </row>
    <row r="236">
      <c r="H236" s="7"/>
      <c r="J236" s="7"/>
      <c r="K236" s="7"/>
    </row>
    <row r="237">
      <c r="H237" s="7"/>
      <c r="J237" s="7"/>
      <c r="K237" s="7"/>
    </row>
    <row r="238">
      <c r="H238" s="7"/>
      <c r="J238" s="7"/>
      <c r="K238" s="7"/>
    </row>
    <row r="239">
      <c r="H239" s="7"/>
      <c r="J239" s="7"/>
      <c r="K239" s="7"/>
    </row>
    <row r="240">
      <c r="H240" s="7"/>
      <c r="J240" s="7"/>
      <c r="K240" s="7"/>
    </row>
    <row r="241">
      <c r="H241" s="7"/>
      <c r="J241" s="7"/>
      <c r="K241" s="7"/>
    </row>
    <row r="242">
      <c r="H242" s="7"/>
      <c r="J242" s="7"/>
      <c r="K242" s="7"/>
    </row>
    <row r="243">
      <c r="H243" s="7"/>
      <c r="J243" s="7"/>
      <c r="K243" s="7"/>
    </row>
    <row r="244">
      <c r="H244" s="7"/>
      <c r="J244" s="7"/>
      <c r="K244" s="7"/>
    </row>
    <row r="245">
      <c r="H245" s="7"/>
      <c r="J245" s="7"/>
      <c r="K245" s="7"/>
    </row>
    <row r="246">
      <c r="H246" s="7"/>
      <c r="J246" s="7"/>
      <c r="K246" s="7"/>
    </row>
    <row r="247">
      <c r="H247" s="7"/>
      <c r="J247" s="7"/>
      <c r="K247" s="7"/>
    </row>
    <row r="248">
      <c r="H248" s="7"/>
      <c r="J248" s="7"/>
      <c r="K248" s="7"/>
    </row>
    <row r="249">
      <c r="H249" s="7"/>
      <c r="J249" s="7"/>
      <c r="K249" s="7"/>
    </row>
    <row r="250">
      <c r="H250" s="7"/>
      <c r="J250" s="7"/>
      <c r="K250" s="7"/>
    </row>
    <row r="251">
      <c r="H251" s="7"/>
      <c r="J251" s="7"/>
      <c r="K251" s="7"/>
    </row>
    <row r="252">
      <c r="H252" s="7"/>
      <c r="J252" s="7"/>
      <c r="K252" s="7"/>
    </row>
    <row r="253">
      <c r="H253" s="7"/>
      <c r="J253" s="7"/>
      <c r="K253" s="7"/>
    </row>
    <row r="254">
      <c r="H254" s="7"/>
      <c r="J254" s="7"/>
      <c r="K254" s="7"/>
    </row>
    <row r="255">
      <c r="H255" s="7"/>
      <c r="J255" s="7"/>
      <c r="K255" s="7"/>
    </row>
    <row r="256">
      <c r="H256" s="7"/>
      <c r="J256" s="7"/>
      <c r="K256" s="7"/>
    </row>
    <row r="257">
      <c r="H257" s="7"/>
      <c r="J257" s="7"/>
      <c r="K257" s="7"/>
    </row>
    <row r="258">
      <c r="H258" s="7"/>
      <c r="J258" s="7"/>
      <c r="K258" s="7"/>
    </row>
    <row r="259">
      <c r="H259" s="7"/>
      <c r="J259" s="7"/>
      <c r="K259" s="7"/>
    </row>
    <row r="260">
      <c r="H260" s="7"/>
      <c r="J260" s="7"/>
      <c r="K260" s="7"/>
    </row>
    <row r="261">
      <c r="H261" s="7"/>
      <c r="J261" s="7"/>
      <c r="K261" s="7"/>
    </row>
    <row r="262">
      <c r="H262" s="7"/>
      <c r="J262" s="7"/>
      <c r="K262" s="7"/>
    </row>
    <row r="263">
      <c r="H263" s="7"/>
      <c r="J263" s="7"/>
      <c r="K263" s="7"/>
    </row>
    <row r="264">
      <c r="H264" s="7"/>
      <c r="J264" s="7"/>
      <c r="K264" s="7"/>
    </row>
    <row r="265">
      <c r="H265" s="7"/>
      <c r="J265" s="7"/>
      <c r="K265" s="7"/>
    </row>
    <row r="266">
      <c r="H266" s="7"/>
      <c r="J266" s="7"/>
      <c r="K266" s="7"/>
    </row>
    <row r="267">
      <c r="H267" s="7"/>
      <c r="J267" s="7"/>
      <c r="K267" s="7"/>
    </row>
    <row r="268">
      <c r="H268" s="7"/>
      <c r="J268" s="7"/>
      <c r="K268" s="7"/>
    </row>
    <row r="269">
      <c r="H269" s="7"/>
      <c r="J269" s="7"/>
      <c r="K269" s="7"/>
    </row>
    <row r="270">
      <c r="H270" s="7"/>
      <c r="J270" s="7"/>
      <c r="K270" s="7"/>
    </row>
    <row r="271">
      <c r="H271" s="7"/>
      <c r="J271" s="7"/>
      <c r="K271" s="7"/>
    </row>
    <row r="272">
      <c r="H272" s="7"/>
      <c r="J272" s="7"/>
      <c r="K272" s="7"/>
    </row>
    <row r="273">
      <c r="H273" s="7"/>
      <c r="J273" s="7"/>
      <c r="K273" s="7"/>
    </row>
    <row r="274">
      <c r="H274" s="7"/>
      <c r="J274" s="7"/>
      <c r="K274" s="7"/>
    </row>
    <row r="275">
      <c r="H275" s="7"/>
      <c r="J275" s="7"/>
      <c r="K275" s="7"/>
    </row>
    <row r="276">
      <c r="H276" s="7"/>
      <c r="J276" s="7"/>
      <c r="K276" s="7"/>
    </row>
    <row r="277">
      <c r="H277" s="7"/>
      <c r="J277" s="7"/>
      <c r="K277" s="7"/>
    </row>
    <row r="278">
      <c r="H278" s="7"/>
      <c r="J278" s="7"/>
      <c r="K278" s="7"/>
    </row>
    <row r="279">
      <c r="H279" s="7"/>
      <c r="J279" s="7"/>
      <c r="K279" s="7"/>
    </row>
    <row r="280">
      <c r="H280" s="7"/>
      <c r="J280" s="7"/>
      <c r="K280" s="7"/>
    </row>
    <row r="281">
      <c r="H281" s="7"/>
      <c r="J281" s="7"/>
      <c r="K281" s="7"/>
    </row>
    <row r="282">
      <c r="H282" s="7"/>
      <c r="J282" s="7"/>
      <c r="K282" s="7"/>
    </row>
    <row r="283">
      <c r="H283" s="7"/>
      <c r="J283" s="7"/>
      <c r="K283" s="7"/>
    </row>
    <row r="284">
      <c r="H284" s="7"/>
      <c r="J284" s="7"/>
      <c r="K284" s="7"/>
    </row>
    <row r="285">
      <c r="H285" s="7"/>
      <c r="J285" s="7"/>
      <c r="K285" s="7"/>
    </row>
    <row r="286">
      <c r="H286" s="7"/>
      <c r="J286" s="7"/>
      <c r="K286" s="7"/>
    </row>
    <row r="287">
      <c r="H287" s="7"/>
      <c r="J287" s="7"/>
      <c r="K287" s="7"/>
    </row>
    <row r="288">
      <c r="H288" s="7"/>
      <c r="J288" s="7"/>
      <c r="K288" s="7"/>
    </row>
    <row r="289">
      <c r="H289" s="7"/>
      <c r="J289" s="7"/>
      <c r="K289" s="7"/>
    </row>
    <row r="290">
      <c r="H290" s="7"/>
      <c r="J290" s="7"/>
      <c r="K290" s="7"/>
    </row>
    <row r="291">
      <c r="H291" s="7"/>
      <c r="J291" s="7"/>
      <c r="K291" s="7"/>
    </row>
    <row r="292">
      <c r="H292" s="7"/>
      <c r="J292" s="7"/>
      <c r="K292" s="7"/>
    </row>
    <row r="293">
      <c r="H293" s="7"/>
      <c r="J293" s="7"/>
      <c r="K293" s="7"/>
    </row>
    <row r="294">
      <c r="H294" s="7"/>
      <c r="J294" s="7"/>
      <c r="K294" s="7"/>
    </row>
    <row r="295">
      <c r="H295" s="7"/>
      <c r="J295" s="7"/>
      <c r="K295" s="7"/>
    </row>
    <row r="296">
      <c r="H296" s="7"/>
      <c r="J296" s="7"/>
      <c r="K296" s="7"/>
    </row>
    <row r="297">
      <c r="H297" s="7"/>
      <c r="J297" s="7"/>
      <c r="K297" s="7"/>
    </row>
    <row r="298">
      <c r="H298" s="7"/>
      <c r="J298" s="7"/>
      <c r="K298" s="7"/>
    </row>
    <row r="299">
      <c r="H299" s="7"/>
      <c r="J299" s="7"/>
      <c r="K299" s="7"/>
    </row>
    <row r="300">
      <c r="H300" s="7"/>
      <c r="J300" s="7"/>
      <c r="K300" s="7"/>
    </row>
    <row r="301">
      <c r="H301" s="7"/>
      <c r="J301" s="7"/>
      <c r="K301" s="7"/>
    </row>
    <row r="302">
      <c r="H302" s="7"/>
      <c r="J302" s="7"/>
      <c r="K302" s="7"/>
    </row>
    <row r="303">
      <c r="H303" s="7"/>
      <c r="J303" s="7"/>
      <c r="K303" s="7"/>
    </row>
    <row r="304">
      <c r="H304" s="7"/>
      <c r="J304" s="7"/>
      <c r="K304" s="7"/>
    </row>
    <row r="305">
      <c r="H305" s="7"/>
      <c r="J305" s="7"/>
      <c r="K305" s="7"/>
    </row>
    <row r="306">
      <c r="H306" s="7"/>
      <c r="J306" s="7"/>
      <c r="K306" s="7"/>
    </row>
    <row r="307">
      <c r="H307" s="7"/>
      <c r="J307" s="7"/>
      <c r="K307" s="7"/>
    </row>
    <row r="308">
      <c r="H308" s="7"/>
      <c r="J308" s="7"/>
      <c r="K308" s="7"/>
    </row>
    <row r="309">
      <c r="H309" s="7"/>
      <c r="J309" s="7"/>
      <c r="K309" s="7"/>
    </row>
    <row r="310">
      <c r="H310" s="7"/>
      <c r="J310" s="7"/>
      <c r="K310" s="7"/>
    </row>
    <row r="311">
      <c r="H311" s="7"/>
      <c r="J311" s="7"/>
      <c r="K311" s="7"/>
    </row>
    <row r="312">
      <c r="H312" s="7"/>
      <c r="J312" s="7"/>
      <c r="K312" s="7"/>
    </row>
    <row r="313">
      <c r="H313" s="7"/>
      <c r="J313" s="7"/>
      <c r="K313" s="7"/>
    </row>
    <row r="314">
      <c r="H314" s="7"/>
      <c r="J314" s="7"/>
      <c r="K314" s="7"/>
    </row>
    <row r="315">
      <c r="H315" s="7"/>
      <c r="J315" s="7"/>
      <c r="K315" s="7"/>
    </row>
    <row r="316">
      <c r="H316" s="7"/>
      <c r="J316" s="7"/>
      <c r="K316" s="7"/>
    </row>
    <row r="317">
      <c r="H317" s="7"/>
      <c r="J317" s="7"/>
      <c r="K317" s="7"/>
    </row>
    <row r="318">
      <c r="H318" s="7"/>
      <c r="J318" s="7"/>
      <c r="K318" s="7"/>
    </row>
    <row r="319">
      <c r="H319" s="7"/>
      <c r="J319" s="7"/>
      <c r="K319" s="7"/>
    </row>
    <row r="320">
      <c r="H320" s="7"/>
      <c r="J320" s="7"/>
      <c r="K320" s="7"/>
    </row>
    <row r="321">
      <c r="H321" s="7"/>
      <c r="J321" s="7"/>
      <c r="K321" s="7"/>
    </row>
    <row r="322">
      <c r="H322" s="7"/>
      <c r="J322" s="7"/>
      <c r="K322" s="7"/>
    </row>
    <row r="323">
      <c r="H323" s="7"/>
      <c r="J323" s="7"/>
      <c r="K323" s="7"/>
    </row>
    <row r="324">
      <c r="H324" s="7"/>
      <c r="J324" s="7"/>
      <c r="K324" s="7"/>
    </row>
    <row r="325">
      <c r="H325" s="7"/>
      <c r="J325" s="7"/>
      <c r="K325" s="7"/>
    </row>
    <row r="326">
      <c r="H326" s="7"/>
      <c r="J326" s="7"/>
      <c r="K326" s="7"/>
    </row>
    <row r="327">
      <c r="H327" s="7"/>
      <c r="J327" s="7"/>
      <c r="K327" s="7"/>
    </row>
    <row r="328">
      <c r="H328" s="7"/>
      <c r="J328" s="7"/>
      <c r="K328" s="7"/>
    </row>
    <row r="329">
      <c r="H329" s="7"/>
      <c r="J329" s="7"/>
      <c r="K329" s="7"/>
    </row>
    <row r="330">
      <c r="H330" s="7"/>
      <c r="J330" s="7"/>
      <c r="K330" s="7"/>
    </row>
    <row r="331">
      <c r="H331" s="7"/>
      <c r="J331" s="7"/>
      <c r="K331" s="7"/>
    </row>
    <row r="332">
      <c r="H332" s="7"/>
      <c r="J332" s="7"/>
      <c r="K332" s="7"/>
    </row>
    <row r="333">
      <c r="H333" s="7"/>
      <c r="J333" s="7"/>
      <c r="K333" s="7"/>
    </row>
    <row r="334">
      <c r="H334" s="7"/>
      <c r="J334" s="7"/>
      <c r="K334" s="7"/>
    </row>
    <row r="335">
      <c r="H335" s="7"/>
      <c r="J335" s="7"/>
      <c r="K335" s="7"/>
    </row>
    <row r="336">
      <c r="H336" s="7"/>
      <c r="J336" s="7"/>
      <c r="K336" s="7"/>
    </row>
    <row r="337">
      <c r="H337" s="7"/>
      <c r="J337" s="7"/>
      <c r="K337" s="7"/>
    </row>
    <row r="338">
      <c r="H338" s="7"/>
      <c r="J338" s="7"/>
      <c r="K338" s="7"/>
    </row>
    <row r="339">
      <c r="H339" s="7"/>
      <c r="J339" s="7"/>
      <c r="K339" s="7"/>
    </row>
    <row r="340">
      <c r="H340" s="7"/>
      <c r="J340" s="7"/>
      <c r="K340" s="7"/>
    </row>
    <row r="341">
      <c r="H341" s="7"/>
      <c r="J341" s="7"/>
      <c r="K341" s="7"/>
    </row>
    <row r="342">
      <c r="H342" s="7"/>
      <c r="J342" s="7"/>
      <c r="K342" s="7"/>
    </row>
    <row r="343">
      <c r="H343" s="7"/>
      <c r="J343" s="7"/>
      <c r="K343" s="7"/>
    </row>
    <row r="344">
      <c r="H344" s="7"/>
      <c r="J344" s="7"/>
      <c r="K344" s="7"/>
    </row>
    <row r="345">
      <c r="H345" s="7"/>
      <c r="J345" s="7"/>
      <c r="K345" s="7"/>
    </row>
    <row r="346">
      <c r="H346" s="7"/>
      <c r="J346" s="7"/>
      <c r="K346" s="7"/>
    </row>
    <row r="347">
      <c r="H347" s="7"/>
      <c r="J347" s="7"/>
      <c r="K347" s="7"/>
    </row>
    <row r="348">
      <c r="H348" s="7"/>
      <c r="J348" s="7"/>
      <c r="K348" s="7"/>
    </row>
    <row r="349">
      <c r="H349" s="7"/>
      <c r="J349" s="7"/>
      <c r="K349" s="7"/>
    </row>
    <row r="350">
      <c r="H350" s="7"/>
      <c r="J350" s="7"/>
      <c r="K350" s="7"/>
    </row>
    <row r="351">
      <c r="H351" s="7"/>
      <c r="J351" s="7"/>
      <c r="K351" s="7"/>
    </row>
    <row r="352">
      <c r="H352" s="7"/>
      <c r="J352" s="7"/>
      <c r="K352" s="7"/>
    </row>
    <row r="353">
      <c r="H353" s="7"/>
      <c r="J353" s="7"/>
      <c r="K353" s="7"/>
    </row>
    <row r="354">
      <c r="H354" s="7"/>
      <c r="J354" s="7"/>
      <c r="K354" s="7"/>
    </row>
    <row r="355">
      <c r="H355" s="7"/>
      <c r="J355" s="7"/>
      <c r="K355" s="7"/>
    </row>
    <row r="356">
      <c r="H356" s="7"/>
      <c r="J356" s="7"/>
      <c r="K356" s="7"/>
    </row>
    <row r="357">
      <c r="H357" s="7"/>
      <c r="J357" s="7"/>
      <c r="K357" s="7"/>
    </row>
    <row r="358">
      <c r="H358" s="7"/>
      <c r="J358" s="7"/>
      <c r="K358" s="7"/>
    </row>
    <row r="359">
      <c r="H359" s="7"/>
      <c r="J359" s="7"/>
      <c r="K359" s="7"/>
    </row>
    <row r="360">
      <c r="H360" s="7"/>
      <c r="J360" s="7"/>
      <c r="K360" s="7"/>
    </row>
    <row r="361">
      <c r="H361" s="7"/>
      <c r="J361" s="7"/>
      <c r="K361" s="7"/>
    </row>
    <row r="362">
      <c r="H362" s="7"/>
      <c r="J362" s="7"/>
      <c r="K362" s="7"/>
    </row>
    <row r="363">
      <c r="H363" s="7"/>
      <c r="J363" s="7"/>
      <c r="K363" s="7"/>
    </row>
    <row r="364">
      <c r="H364" s="7"/>
      <c r="J364" s="7"/>
      <c r="K364" s="7"/>
    </row>
    <row r="365">
      <c r="H365" s="7"/>
      <c r="J365" s="7"/>
      <c r="K365" s="7"/>
    </row>
    <row r="366">
      <c r="H366" s="7"/>
      <c r="J366" s="7"/>
      <c r="K366" s="7"/>
    </row>
    <row r="367">
      <c r="H367" s="7"/>
      <c r="J367" s="7"/>
      <c r="K367" s="7"/>
    </row>
    <row r="368">
      <c r="H368" s="7"/>
      <c r="J368" s="7"/>
      <c r="K368" s="7"/>
    </row>
    <row r="369">
      <c r="H369" s="7"/>
      <c r="J369" s="7"/>
      <c r="K369" s="7"/>
    </row>
    <row r="370">
      <c r="H370" s="7"/>
      <c r="J370" s="7"/>
      <c r="K370" s="7"/>
    </row>
    <row r="371">
      <c r="H371" s="7"/>
      <c r="J371" s="7"/>
      <c r="K371" s="7"/>
    </row>
    <row r="372">
      <c r="H372" s="7"/>
      <c r="J372" s="7"/>
      <c r="K372" s="7"/>
    </row>
    <row r="373">
      <c r="H373" s="7"/>
      <c r="J373" s="7"/>
      <c r="K373" s="7"/>
    </row>
    <row r="374">
      <c r="H374" s="7"/>
      <c r="J374" s="7"/>
      <c r="K374" s="7"/>
    </row>
    <row r="375">
      <c r="H375" s="7"/>
      <c r="J375" s="7"/>
      <c r="K375" s="7"/>
    </row>
    <row r="376">
      <c r="H376" s="7"/>
      <c r="J376" s="7"/>
      <c r="K376" s="7"/>
    </row>
    <row r="377">
      <c r="H377" s="7"/>
      <c r="J377" s="7"/>
      <c r="K377" s="7"/>
    </row>
    <row r="378">
      <c r="H378" s="7"/>
      <c r="J378" s="7"/>
      <c r="K378" s="7"/>
    </row>
    <row r="379">
      <c r="H379" s="7"/>
      <c r="J379" s="7"/>
      <c r="K379" s="7"/>
    </row>
    <row r="380">
      <c r="H380" s="7"/>
      <c r="J380" s="7"/>
      <c r="K380" s="7"/>
    </row>
    <row r="381">
      <c r="H381" s="7"/>
      <c r="J381" s="7"/>
      <c r="K381" s="7"/>
    </row>
    <row r="382">
      <c r="H382" s="7"/>
      <c r="J382" s="7"/>
      <c r="K382" s="7"/>
    </row>
    <row r="383">
      <c r="H383" s="7"/>
      <c r="J383" s="7"/>
      <c r="K383" s="7"/>
    </row>
    <row r="384">
      <c r="H384" s="7"/>
      <c r="J384" s="7"/>
      <c r="K384" s="7"/>
    </row>
    <row r="385">
      <c r="H385" s="7"/>
      <c r="J385" s="7"/>
      <c r="K385" s="7"/>
    </row>
    <row r="386">
      <c r="H386" s="7"/>
      <c r="J386" s="7"/>
      <c r="K386" s="7"/>
    </row>
    <row r="387">
      <c r="H387" s="7"/>
      <c r="J387" s="7"/>
      <c r="K387" s="7"/>
    </row>
    <row r="388">
      <c r="H388" s="7"/>
      <c r="J388" s="7"/>
      <c r="K388" s="7"/>
    </row>
    <row r="389">
      <c r="H389" s="7"/>
      <c r="J389" s="7"/>
      <c r="K389" s="7"/>
    </row>
    <row r="390">
      <c r="H390" s="7"/>
      <c r="J390" s="7"/>
      <c r="K390" s="7"/>
    </row>
    <row r="391">
      <c r="H391" s="7"/>
      <c r="J391" s="7"/>
      <c r="K391" s="7"/>
    </row>
    <row r="392">
      <c r="H392" s="7"/>
      <c r="J392" s="7"/>
      <c r="K392" s="7"/>
    </row>
    <row r="393">
      <c r="H393" s="7"/>
      <c r="J393" s="7"/>
      <c r="K393" s="7"/>
    </row>
    <row r="394">
      <c r="H394" s="7"/>
      <c r="J394" s="7"/>
      <c r="K394" s="7"/>
    </row>
    <row r="395">
      <c r="H395" s="7"/>
      <c r="J395" s="7"/>
      <c r="K395" s="7"/>
    </row>
    <row r="396">
      <c r="H396" s="7"/>
      <c r="J396" s="7"/>
      <c r="K396" s="7"/>
    </row>
    <row r="397">
      <c r="H397" s="7"/>
      <c r="J397" s="7"/>
      <c r="K397" s="7"/>
    </row>
    <row r="398">
      <c r="H398" s="7"/>
      <c r="J398" s="7"/>
      <c r="K398" s="7"/>
    </row>
    <row r="399">
      <c r="H399" s="7"/>
      <c r="J399" s="7"/>
      <c r="K399" s="7"/>
    </row>
    <row r="400">
      <c r="H400" s="7"/>
      <c r="J400" s="7"/>
      <c r="K400" s="7"/>
    </row>
    <row r="401">
      <c r="H401" s="7"/>
      <c r="J401" s="7"/>
      <c r="K401" s="7"/>
    </row>
    <row r="402">
      <c r="H402" s="7"/>
      <c r="J402" s="7"/>
      <c r="K402" s="7"/>
    </row>
    <row r="403">
      <c r="H403" s="7"/>
      <c r="J403" s="7"/>
      <c r="K403" s="7"/>
    </row>
    <row r="404">
      <c r="H404" s="7"/>
      <c r="J404" s="7"/>
      <c r="K404" s="7"/>
    </row>
    <row r="405">
      <c r="H405" s="7"/>
      <c r="J405" s="7"/>
      <c r="K405" s="7"/>
    </row>
    <row r="406">
      <c r="H406" s="7"/>
      <c r="J406" s="7"/>
      <c r="K406" s="7"/>
    </row>
    <row r="407">
      <c r="H407" s="7"/>
      <c r="J407" s="7"/>
      <c r="K407" s="7"/>
    </row>
    <row r="408">
      <c r="H408" s="7"/>
      <c r="J408" s="7"/>
      <c r="K408" s="7"/>
    </row>
    <row r="409">
      <c r="H409" s="7"/>
      <c r="J409" s="7"/>
      <c r="K409" s="7"/>
    </row>
    <row r="410">
      <c r="H410" s="7"/>
      <c r="J410" s="7"/>
      <c r="K410" s="7"/>
    </row>
    <row r="411">
      <c r="H411" s="7"/>
      <c r="J411" s="7"/>
      <c r="K411" s="7"/>
    </row>
    <row r="412">
      <c r="H412" s="7"/>
      <c r="J412" s="7"/>
      <c r="K412" s="7"/>
    </row>
    <row r="413">
      <c r="H413" s="7"/>
      <c r="J413" s="7"/>
      <c r="K413" s="7"/>
    </row>
    <row r="414">
      <c r="H414" s="7"/>
      <c r="J414" s="7"/>
      <c r="K414" s="7"/>
    </row>
    <row r="415">
      <c r="H415" s="7"/>
      <c r="J415" s="7"/>
      <c r="K415" s="7"/>
    </row>
    <row r="416">
      <c r="H416" s="7"/>
      <c r="J416" s="7"/>
      <c r="K416" s="7"/>
    </row>
    <row r="417">
      <c r="H417" s="7"/>
      <c r="J417" s="7"/>
      <c r="K417" s="7"/>
    </row>
    <row r="418">
      <c r="H418" s="7"/>
      <c r="J418" s="7"/>
      <c r="K418" s="7"/>
    </row>
    <row r="419">
      <c r="H419" s="7"/>
      <c r="J419" s="7"/>
      <c r="K419" s="7"/>
    </row>
    <row r="420">
      <c r="H420" s="7"/>
      <c r="J420" s="7"/>
      <c r="K420" s="7"/>
    </row>
    <row r="421">
      <c r="H421" s="7"/>
      <c r="J421" s="7"/>
      <c r="K421" s="7"/>
    </row>
    <row r="422">
      <c r="H422" s="7"/>
      <c r="J422" s="7"/>
      <c r="K422" s="7"/>
    </row>
    <row r="423">
      <c r="H423" s="7"/>
      <c r="J423" s="7"/>
      <c r="K423" s="7"/>
    </row>
    <row r="424">
      <c r="H424" s="7"/>
      <c r="J424" s="7"/>
      <c r="K424" s="7"/>
    </row>
    <row r="425">
      <c r="H425" s="7"/>
      <c r="J425" s="7"/>
      <c r="K425" s="7"/>
    </row>
    <row r="426">
      <c r="H426" s="7"/>
      <c r="J426" s="7"/>
      <c r="K426" s="7"/>
    </row>
    <row r="427">
      <c r="H427" s="7"/>
      <c r="J427" s="7"/>
      <c r="K427" s="7"/>
    </row>
    <row r="428">
      <c r="H428" s="7"/>
      <c r="J428" s="7"/>
      <c r="K428" s="7"/>
    </row>
    <row r="429">
      <c r="H429" s="7"/>
      <c r="J429" s="7"/>
      <c r="K429" s="7"/>
    </row>
    <row r="430">
      <c r="H430" s="7"/>
      <c r="J430" s="7"/>
      <c r="K430" s="7"/>
    </row>
    <row r="431">
      <c r="H431" s="7"/>
      <c r="J431" s="7"/>
      <c r="K431" s="7"/>
    </row>
    <row r="432">
      <c r="H432" s="7"/>
      <c r="J432" s="7"/>
      <c r="K432" s="7"/>
    </row>
    <row r="433">
      <c r="H433" s="7"/>
      <c r="J433" s="7"/>
      <c r="K433" s="7"/>
    </row>
    <row r="434">
      <c r="H434" s="7"/>
      <c r="J434" s="7"/>
      <c r="K434" s="7"/>
    </row>
    <row r="435">
      <c r="H435" s="7"/>
      <c r="J435" s="7"/>
      <c r="K435" s="7"/>
    </row>
    <row r="436">
      <c r="H436" s="7"/>
      <c r="J436" s="7"/>
      <c r="K436" s="7"/>
    </row>
    <row r="437">
      <c r="H437" s="7"/>
      <c r="J437" s="7"/>
      <c r="K437" s="7"/>
    </row>
    <row r="438">
      <c r="H438" s="7"/>
      <c r="J438" s="7"/>
      <c r="K438" s="7"/>
    </row>
    <row r="439">
      <c r="H439" s="7"/>
      <c r="J439" s="7"/>
      <c r="K439" s="7"/>
    </row>
    <row r="440">
      <c r="H440" s="7"/>
      <c r="J440" s="7"/>
      <c r="K440" s="7"/>
    </row>
    <row r="441">
      <c r="H441" s="7"/>
      <c r="J441" s="7"/>
      <c r="K441" s="7"/>
    </row>
    <row r="442">
      <c r="H442" s="7"/>
      <c r="J442" s="7"/>
      <c r="K442" s="7"/>
    </row>
    <row r="443">
      <c r="H443" s="7"/>
      <c r="J443" s="7"/>
      <c r="K443" s="7"/>
    </row>
    <row r="444">
      <c r="H444" s="7"/>
      <c r="J444" s="7"/>
      <c r="K444" s="7"/>
    </row>
    <row r="445">
      <c r="H445" s="7"/>
      <c r="J445" s="7"/>
      <c r="K445" s="7"/>
    </row>
    <row r="446">
      <c r="H446" s="7"/>
      <c r="J446" s="7"/>
      <c r="K446" s="7"/>
    </row>
    <row r="447">
      <c r="H447" s="7"/>
      <c r="J447" s="7"/>
      <c r="K447" s="7"/>
    </row>
    <row r="448">
      <c r="H448" s="7"/>
      <c r="J448" s="7"/>
      <c r="K448" s="7"/>
    </row>
    <row r="449">
      <c r="H449" s="7"/>
      <c r="J449" s="7"/>
      <c r="K449" s="7"/>
    </row>
    <row r="450">
      <c r="H450" s="7"/>
      <c r="J450" s="7"/>
      <c r="K450" s="7"/>
    </row>
    <row r="451">
      <c r="H451" s="7"/>
      <c r="J451" s="7"/>
      <c r="K451" s="7"/>
    </row>
    <row r="452">
      <c r="H452" s="7"/>
      <c r="J452" s="7"/>
      <c r="K452" s="7"/>
    </row>
    <row r="453">
      <c r="H453" s="7"/>
      <c r="J453" s="7"/>
      <c r="K453" s="7"/>
    </row>
    <row r="454">
      <c r="H454" s="7"/>
      <c r="J454" s="7"/>
      <c r="K454" s="7"/>
    </row>
    <row r="455">
      <c r="H455" s="7"/>
      <c r="J455" s="7"/>
      <c r="K455" s="7"/>
    </row>
    <row r="456">
      <c r="H456" s="7"/>
      <c r="J456" s="7"/>
      <c r="K456" s="7"/>
    </row>
    <row r="457">
      <c r="H457" s="7"/>
      <c r="J457" s="7"/>
      <c r="K457" s="7"/>
    </row>
    <row r="458">
      <c r="H458" s="7"/>
      <c r="J458" s="7"/>
      <c r="K458" s="7"/>
    </row>
    <row r="459">
      <c r="H459" s="7"/>
      <c r="J459" s="7"/>
      <c r="K459" s="7"/>
    </row>
    <row r="460">
      <c r="H460" s="7"/>
      <c r="J460" s="7"/>
      <c r="K460" s="7"/>
    </row>
    <row r="461">
      <c r="H461" s="7"/>
      <c r="J461" s="7"/>
      <c r="K461" s="7"/>
    </row>
    <row r="462">
      <c r="H462" s="7"/>
      <c r="J462" s="7"/>
      <c r="K462" s="7"/>
    </row>
    <row r="463">
      <c r="H463" s="7"/>
      <c r="J463" s="7"/>
      <c r="K463" s="7"/>
    </row>
    <row r="464">
      <c r="H464" s="7"/>
      <c r="J464" s="7"/>
      <c r="K464" s="7"/>
    </row>
    <row r="465">
      <c r="H465" s="7"/>
      <c r="J465" s="7"/>
      <c r="K465" s="7"/>
    </row>
    <row r="466">
      <c r="H466" s="7"/>
      <c r="J466" s="7"/>
      <c r="K466" s="7"/>
    </row>
    <row r="467">
      <c r="H467" s="7"/>
      <c r="J467" s="7"/>
      <c r="K467" s="7"/>
    </row>
    <row r="468">
      <c r="H468" s="7"/>
      <c r="J468" s="7"/>
      <c r="K468" s="7"/>
    </row>
    <row r="469">
      <c r="H469" s="7"/>
      <c r="J469" s="7"/>
      <c r="K469" s="7"/>
    </row>
    <row r="470">
      <c r="H470" s="7"/>
      <c r="J470" s="7"/>
      <c r="K470" s="7"/>
    </row>
    <row r="471">
      <c r="H471" s="7"/>
      <c r="J471" s="7"/>
      <c r="K471" s="7"/>
    </row>
    <row r="472">
      <c r="H472" s="7"/>
      <c r="J472" s="7"/>
      <c r="K472" s="7"/>
    </row>
    <row r="473">
      <c r="H473" s="7"/>
      <c r="J473" s="7"/>
      <c r="K473" s="7"/>
    </row>
    <row r="474">
      <c r="H474" s="7"/>
      <c r="J474" s="7"/>
      <c r="K474" s="7"/>
    </row>
    <row r="475">
      <c r="H475" s="7"/>
      <c r="J475" s="7"/>
      <c r="K475" s="7"/>
    </row>
    <row r="476">
      <c r="H476" s="7"/>
      <c r="J476" s="7"/>
      <c r="K476" s="7"/>
    </row>
    <row r="477">
      <c r="H477" s="7"/>
      <c r="J477" s="7"/>
      <c r="K477" s="7"/>
    </row>
    <row r="478">
      <c r="H478" s="7"/>
      <c r="J478" s="7"/>
      <c r="K478" s="7"/>
    </row>
    <row r="479">
      <c r="H479" s="7"/>
      <c r="J479" s="7"/>
      <c r="K479" s="7"/>
    </row>
    <row r="480">
      <c r="H480" s="7"/>
      <c r="J480" s="7"/>
      <c r="K480" s="7"/>
    </row>
    <row r="481">
      <c r="H481" s="7"/>
      <c r="J481" s="7"/>
      <c r="K481" s="7"/>
    </row>
    <row r="482">
      <c r="H482" s="7"/>
      <c r="J482" s="7"/>
      <c r="K482" s="7"/>
    </row>
    <row r="483">
      <c r="H483" s="7"/>
      <c r="J483" s="7"/>
      <c r="K483" s="7"/>
    </row>
    <row r="484">
      <c r="H484" s="7"/>
      <c r="J484" s="7"/>
      <c r="K484" s="7"/>
    </row>
    <row r="485">
      <c r="H485" s="7"/>
      <c r="J485" s="7"/>
      <c r="K485" s="7"/>
    </row>
    <row r="486">
      <c r="H486" s="7"/>
      <c r="J486" s="7"/>
      <c r="K486" s="7"/>
    </row>
    <row r="487">
      <c r="H487" s="7"/>
      <c r="J487" s="7"/>
      <c r="K487" s="7"/>
    </row>
    <row r="488">
      <c r="H488" s="7"/>
      <c r="J488" s="7"/>
      <c r="K488" s="7"/>
    </row>
    <row r="489">
      <c r="H489" s="7"/>
      <c r="J489" s="7"/>
      <c r="K489" s="7"/>
    </row>
    <row r="490">
      <c r="H490" s="7"/>
      <c r="J490" s="7"/>
      <c r="K490" s="7"/>
    </row>
    <row r="491">
      <c r="H491" s="7"/>
      <c r="J491" s="7"/>
      <c r="K491" s="7"/>
    </row>
    <row r="492">
      <c r="H492" s="7"/>
      <c r="J492" s="7"/>
      <c r="K492" s="7"/>
    </row>
    <row r="493">
      <c r="H493" s="7"/>
      <c r="J493" s="7"/>
      <c r="K493" s="7"/>
    </row>
    <row r="494">
      <c r="H494" s="7"/>
      <c r="J494" s="7"/>
      <c r="K494" s="7"/>
    </row>
    <row r="495">
      <c r="H495" s="7"/>
      <c r="J495" s="7"/>
      <c r="K495" s="7"/>
    </row>
    <row r="496">
      <c r="H496" s="7"/>
      <c r="J496" s="7"/>
      <c r="K496" s="7"/>
    </row>
    <row r="497">
      <c r="H497" s="7"/>
      <c r="J497" s="7"/>
      <c r="K497" s="7"/>
    </row>
    <row r="498">
      <c r="H498" s="7"/>
      <c r="J498" s="7"/>
      <c r="K498" s="7"/>
    </row>
    <row r="499">
      <c r="H499" s="7"/>
      <c r="J499" s="7"/>
      <c r="K499" s="7"/>
    </row>
    <row r="500">
      <c r="H500" s="7"/>
      <c r="J500" s="7"/>
      <c r="K500" s="7"/>
    </row>
    <row r="501">
      <c r="H501" s="7"/>
      <c r="J501" s="7"/>
      <c r="K501" s="7"/>
    </row>
    <row r="502">
      <c r="H502" s="7"/>
      <c r="J502" s="7"/>
      <c r="K502" s="7"/>
    </row>
    <row r="503">
      <c r="H503" s="7"/>
      <c r="J503" s="7"/>
      <c r="K503" s="7"/>
    </row>
    <row r="504">
      <c r="H504" s="7"/>
      <c r="J504" s="7"/>
      <c r="K504" s="7"/>
    </row>
    <row r="505">
      <c r="H505" s="7"/>
      <c r="J505" s="7"/>
      <c r="K505" s="7"/>
    </row>
    <row r="506">
      <c r="H506" s="7"/>
      <c r="J506" s="7"/>
      <c r="K506" s="7"/>
    </row>
    <row r="507">
      <c r="H507" s="7"/>
      <c r="J507" s="7"/>
      <c r="K507" s="7"/>
    </row>
    <row r="508">
      <c r="H508" s="7"/>
      <c r="J508" s="7"/>
      <c r="K508" s="7"/>
    </row>
    <row r="509">
      <c r="H509" s="7"/>
      <c r="J509" s="7"/>
      <c r="K509" s="7"/>
    </row>
    <row r="510">
      <c r="H510" s="7"/>
      <c r="J510" s="7"/>
      <c r="K510" s="7"/>
    </row>
    <row r="511">
      <c r="H511" s="7"/>
      <c r="J511" s="7"/>
      <c r="K511" s="7"/>
    </row>
    <row r="512">
      <c r="H512" s="7"/>
      <c r="J512" s="7"/>
      <c r="K512" s="7"/>
    </row>
    <row r="513">
      <c r="H513" s="7"/>
      <c r="J513" s="7"/>
      <c r="K513" s="7"/>
    </row>
    <row r="514">
      <c r="H514" s="7"/>
      <c r="J514" s="7"/>
      <c r="K514" s="7"/>
    </row>
    <row r="515">
      <c r="H515" s="7"/>
      <c r="J515" s="7"/>
      <c r="K515" s="7"/>
    </row>
    <row r="516">
      <c r="H516" s="7"/>
      <c r="J516" s="7"/>
      <c r="K516" s="7"/>
    </row>
    <row r="517">
      <c r="H517" s="7"/>
      <c r="J517" s="7"/>
      <c r="K517" s="7"/>
    </row>
    <row r="518">
      <c r="H518" s="7"/>
      <c r="J518" s="7"/>
      <c r="K518" s="7"/>
    </row>
    <row r="519">
      <c r="H519" s="7"/>
      <c r="J519" s="7"/>
      <c r="K519" s="7"/>
    </row>
    <row r="520">
      <c r="H520" s="7"/>
      <c r="J520" s="7"/>
      <c r="K520" s="7"/>
    </row>
    <row r="521">
      <c r="H521" s="7"/>
      <c r="J521" s="7"/>
      <c r="K521" s="7"/>
    </row>
    <row r="522">
      <c r="H522" s="7"/>
      <c r="J522" s="7"/>
      <c r="K522" s="7"/>
    </row>
    <row r="523">
      <c r="H523" s="7"/>
      <c r="J523" s="7"/>
      <c r="K523" s="7"/>
    </row>
    <row r="524">
      <c r="H524" s="7"/>
      <c r="J524" s="7"/>
      <c r="K524" s="7"/>
    </row>
    <row r="525">
      <c r="H525" s="7"/>
      <c r="J525" s="7"/>
      <c r="K525" s="7"/>
    </row>
    <row r="526">
      <c r="H526" s="7"/>
      <c r="J526" s="7"/>
      <c r="K526" s="7"/>
    </row>
    <row r="527">
      <c r="H527" s="7"/>
      <c r="J527" s="7"/>
      <c r="K527" s="7"/>
    </row>
    <row r="528">
      <c r="H528" s="7"/>
      <c r="J528" s="7"/>
      <c r="K528" s="7"/>
    </row>
    <row r="529">
      <c r="H529" s="7"/>
      <c r="J529" s="7"/>
      <c r="K529" s="7"/>
    </row>
    <row r="530">
      <c r="H530" s="7"/>
      <c r="J530" s="7"/>
      <c r="K530" s="7"/>
    </row>
    <row r="531">
      <c r="H531" s="7"/>
      <c r="J531" s="7"/>
      <c r="K531" s="7"/>
    </row>
    <row r="532">
      <c r="H532" s="7"/>
      <c r="J532" s="7"/>
      <c r="K532" s="7"/>
    </row>
    <row r="533">
      <c r="H533" s="7"/>
      <c r="J533" s="7"/>
      <c r="K533" s="7"/>
    </row>
    <row r="534">
      <c r="H534" s="7"/>
      <c r="J534" s="7"/>
      <c r="K534" s="7"/>
    </row>
    <row r="535">
      <c r="H535" s="7"/>
      <c r="J535" s="7"/>
      <c r="K535" s="7"/>
    </row>
    <row r="536">
      <c r="H536" s="7"/>
      <c r="J536" s="7"/>
      <c r="K536" s="7"/>
    </row>
    <row r="537">
      <c r="H537" s="7"/>
      <c r="J537" s="7"/>
      <c r="K537" s="7"/>
    </row>
    <row r="538">
      <c r="H538" s="7"/>
      <c r="J538" s="7"/>
      <c r="K538" s="7"/>
    </row>
    <row r="539">
      <c r="H539" s="7"/>
      <c r="J539" s="7"/>
      <c r="K539" s="7"/>
    </row>
    <row r="540">
      <c r="H540" s="7"/>
      <c r="J540" s="7"/>
      <c r="K540" s="7"/>
    </row>
    <row r="541">
      <c r="H541" s="7"/>
      <c r="J541" s="7"/>
      <c r="K541" s="7"/>
    </row>
    <row r="542">
      <c r="H542" s="7"/>
      <c r="J542" s="7"/>
      <c r="K542" s="7"/>
    </row>
    <row r="543">
      <c r="H543" s="7"/>
      <c r="J543" s="7"/>
      <c r="K543" s="7"/>
    </row>
    <row r="544">
      <c r="H544" s="7"/>
      <c r="J544" s="7"/>
      <c r="K544" s="7"/>
    </row>
    <row r="545">
      <c r="H545" s="7"/>
      <c r="J545" s="7"/>
      <c r="K545" s="7"/>
    </row>
    <row r="546">
      <c r="H546" s="7"/>
      <c r="J546" s="7"/>
      <c r="K546" s="7"/>
    </row>
    <row r="547">
      <c r="H547" s="7"/>
      <c r="J547" s="7"/>
      <c r="K547" s="7"/>
    </row>
    <row r="548">
      <c r="H548" s="7"/>
      <c r="J548" s="7"/>
      <c r="K548" s="7"/>
    </row>
    <row r="549">
      <c r="H549" s="7"/>
      <c r="J549" s="7"/>
      <c r="K549" s="7"/>
    </row>
    <row r="550">
      <c r="H550" s="7"/>
      <c r="J550" s="7"/>
      <c r="K550" s="7"/>
    </row>
    <row r="551">
      <c r="H551" s="7"/>
      <c r="J551" s="7"/>
      <c r="K551" s="7"/>
    </row>
    <row r="552">
      <c r="H552" s="7"/>
      <c r="J552" s="7"/>
      <c r="K552" s="7"/>
    </row>
    <row r="553">
      <c r="H553" s="7"/>
      <c r="J553" s="7"/>
      <c r="K553" s="7"/>
    </row>
    <row r="554">
      <c r="H554" s="7"/>
      <c r="J554" s="7"/>
      <c r="K554" s="7"/>
    </row>
    <row r="555">
      <c r="H555" s="7"/>
      <c r="J555" s="7"/>
      <c r="K555" s="7"/>
    </row>
    <row r="556">
      <c r="H556" s="7"/>
      <c r="J556" s="7"/>
      <c r="K556" s="7"/>
    </row>
    <row r="557">
      <c r="H557" s="7"/>
      <c r="J557" s="7"/>
      <c r="K557" s="7"/>
    </row>
    <row r="558">
      <c r="H558" s="7"/>
      <c r="J558" s="7"/>
      <c r="K558" s="7"/>
    </row>
    <row r="559">
      <c r="H559" s="7"/>
      <c r="J559" s="7"/>
      <c r="K559" s="7"/>
    </row>
    <row r="560">
      <c r="H560" s="7"/>
      <c r="J560" s="7"/>
      <c r="K560" s="7"/>
    </row>
    <row r="561">
      <c r="H561" s="7"/>
      <c r="J561" s="7"/>
      <c r="K561" s="7"/>
    </row>
    <row r="562">
      <c r="H562" s="7"/>
      <c r="J562" s="7"/>
      <c r="K562" s="7"/>
    </row>
    <row r="563">
      <c r="H563" s="7"/>
      <c r="J563" s="7"/>
      <c r="K563" s="7"/>
    </row>
    <row r="564">
      <c r="H564" s="7"/>
      <c r="J564" s="7"/>
      <c r="K564" s="7"/>
    </row>
    <row r="565">
      <c r="H565" s="7"/>
      <c r="J565" s="7"/>
      <c r="K565" s="7"/>
    </row>
    <row r="566">
      <c r="H566" s="7"/>
      <c r="J566" s="7"/>
      <c r="K566" s="7"/>
    </row>
    <row r="567">
      <c r="H567" s="7"/>
      <c r="J567" s="7"/>
      <c r="K567" s="7"/>
    </row>
    <row r="568">
      <c r="H568" s="7"/>
      <c r="J568" s="7"/>
      <c r="K568" s="7"/>
    </row>
    <row r="569">
      <c r="H569" s="7"/>
      <c r="J569" s="7"/>
      <c r="K569" s="7"/>
    </row>
    <row r="570">
      <c r="H570" s="7"/>
      <c r="J570" s="7"/>
      <c r="K570" s="7"/>
    </row>
    <row r="571">
      <c r="H571" s="7"/>
      <c r="J571" s="7"/>
      <c r="K571" s="7"/>
    </row>
    <row r="572">
      <c r="H572" s="7"/>
      <c r="J572" s="7"/>
      <c r="K572" s="7"/>
    </row>
    <row r="573">
      <c r="H573" s="7"/>
      <c r="J573" s="7"/>
      <c r="K573" s="7"/>
    </row>
    <row r="574">
      <c r="H574" s="7"/>
      <c r="J574" s="7"/>
      <c r="K574" s="7"/>
    </row>
    <row r="575">
      <c r="H575" s="7"/>
      <c r="J575" s="7"/>
      <c r="K575" s="7"/>
    </row>
    <row r="576">
      <c r="H576" s="7"/>
      <c r="J576" s="7"/>
      <c r="K576" s="7"/>
    </row>
    <row r="577">
      <c r="H577" s="7"/>
      <c r="J577" s="7"/>
      <c r="K577" s="7"/>
    </row>
    <row r="578">
      <c r="H578" s="7"/>
      <c r="J578" s="7"/>
      <c r="K578" s="7"/>
    </row>
    <row r="579">
      <c r="H579" s="7"/>
      <c r="J579" s="7"/>
      <c r="K579" s="7"/>
    </row>
    <row r="580">
      <c r="H580" s="7"/>
      <c r="J580" s="7"/>
      <c r="K580" s="7"/>
    </row>
    <row r="581">
      <c r="H581" s="7"/>
      <c r="J581" s="7"/>
      <c r="K581" s="7"/>
    </row>
    <row r="582">
      <c r="H582" s="7"/>
      <c r="J582" s="7"/>
      <c r="K582" s="7"/>
    </row>
    <row r="583">
      <c r="H583" s="7"/>
      <c r="J583" s="7"/>
      <c r="K583" s="7"/>
    </row>
    <row r="584">
      <c r="H584" s="7"/>
      <c r="J584" s="7"/>
      <c r="K584" s="7"/>
    </row>
    <row r="585">
      <c r="H585" s="7"/>
      <c r="J585" s="7"/>
      <c r="K585" s="7"/>
    </row>
    <row r="586">
      <c r="H586" s="7"/>
      <c r="J586" s="7"/>
      <c r="K586" s="7"/>
    </row>
    <row r="587">
      <c r="H587" s="7"/>
      <c r="J587" s="7"/>
      <c r="K587" s="7"/>
    </row>
    <row r="588">
      <c r="H588" s="7"/>
      <c r="J588" s="7"/>
      <c r="K588" s="7"/>
    </row>
    <row r="589">
      <c r="H589" s="7"/>
      <c r="J589" s="7"/>
      <c r="K589" s="7"/>
    </row>
    <row r="590">
      <c r="H590" s="7"/>
      <c r="J590" s="7"/>
      <c r="K590" s="7"/>
    </row>
    <row r="591">
      <c r="H591" s="7"/>
      <c r="J591" s="7"/>
      <c r="K591" s="7"/>
    </row>
    <row r="592">
      <c r="H592" s="7"/>
      <c r="J592" s="7"/>
      <c r="K592" s="7"/>
    </row>
    <row r="593">
      <c r="H593" s="7"/>
      <c r="J593" s="7"/>
      <c r="K593" s="7"/>
    </row>
    <row r="594">
      <c r="H594" s="7"/>
      <c r="J594" s="7"/>
      <c r="K594" s="7"/>
    </row>
    <row r="595">
      <c r="H595" s="7"/>
      <c r="J595" s="7"/>
      <c r="K595" s="7"/>
    </row>
    <row r="596">
      <c r="H596" s="7"/>
      <c r="J596" s="7"/>
      <c r="K596" s="7"/>
    </row>
    <row r="597">
      <c r="H597" s="7"/>
      <c r="J597" s="7"/>
      <c r="K597" s="7"/>
    </row>
    <row r="598">
      <c r="H598" s="7"/>
      <c r="J598" s="7"/>
      <c r="K598" s="7"/>
    </row>
    <row r="599">
      <c r="H599" s="7"/>
      <c r="J599" s="7"/>
      <c r="K599" s="7"/>
    </row>
    <row r="600">
      <c r="H600" s="7"/>
      <c r="J600" s="7"/>
      <c r="K600" s="7"/>
    </row>
    <row r="601">
      <c r="H601" s="7"/>
      <c r="J601" s="7"/>
      <c r="K601" s="7"/>
    </row>
    <row r="602">
      <c r="H602" s="7"/>
      <c r="J602" s="7"/>
      <c r="K602" s="7"/>
    </row>
    <row r="603">
      <c r="H603" s="7"/>
      <c r="J603" s="7"/>
      <c r="K603" s="7"/>
    </row>
    <row r="604">
      <c r="H604" s="7"/>
      <c r="J604" s="7"/>
      <c r="K604" s="7"/>
    </row>
    <row r="605">
      <c r="H605" s="7"/>
      <c r="J605" s="7"/>
      <c r="K605" s="7"/>
    </row>
    <row r="606">
      <c r="H606" s="7"/>
      <c r="J606" s="7"/>
      <c r="K606" s="7"/>
    </row>
    <row r="607">
      <c r="H607" s="7"/>
      <c r="J607" s="7"/>
      <c r="K607" s="7"/>
    </row>
    <row r="608">
      <c r="H608" s="7"/>
      <c r="J608" s="7"/>
      <c r="K608" s="7"/>
    </row>
    <row r="609">
      <c r="H609" s="7"/>
      <c r="J609" s="7"/>
      <c r="K609" s="7"/>
    </row>
    <row r="610">
      <c r="H610" s="7"/>
      <c r="J610" s="7"/>
      <c r="K610" s="7"/>
    </row>
    <row r="611">
      <c r="H611" s="7"/>
      <c r="J611" s="7"/>
      <c r="K611" s="7"/>
    </row>
    <row r="612">
      <c r="H612" s="7"/>
      <c r="J612" s="7"/>
      <c r="K612" s="7"/>
    </row>
    <row r="613">
      <c r="H613" s="7"/>
      <c r="J613" s="7"/>
      <c r="K613" s="7"/>
    </row>
    <row r="614">
      <c r="H614" s="7"/>
      <c r="J614" s="7"/>
      <c r="K614" s="7"/>
    </row>
    <row r="615">
      <c r="H615" s="7"/>
      <c r="J615" s="7"/>
      <c r="K615" s="7"/>
    </row>
    <row r="616">
      <c r="H616" s="7"/>
      <c r="J616" s="7"/>
      <c r="K616" s="7"/>
    </row>
    <row r="617">
      <c r="H617" s="7"/>
      <c r="J617" s="7"/>
      <c r="K617" s="7"/>
    </row>
    <row r="618">
      <c r="H618" s="7"/>
      <c r="J618" s="7"/>
      <c r="K618" s="7"/>
    </row>
    <row r="619">
      <c r="H619" s="7"/>
      <c r="J619" s="7"/>
      <c r="K619" s="7"/>
    </row>
    <row r="620">
      <c r="H620" s="7"/>
      <c r="J620" s="7"/>
      <c r="K620" s="7"/>
    </row>
    <row r="621">
      <c r="H621" s="7"/>
      <c r="J621" s="7"/>
      <c r="K621" s="7"/>
    </row>
    <row r="622">
      <c r="H622" s="7"/>
      <c r="J622" s="7"/>
      <c r="K622" s="7"/>
    </row>
    <row r="623">
      <c r="H623" s="7"/>
      <c r="J623" s="7"/>
      <c r="K623" s="7"/>
    </row>
    <row r="624">
      <c r="H624" s="7"/>
      <c r="J624" s="7"/>
      <c r="K624" s="7"/>
    </row>
    <row r="625">
      <c r="H625" s="7"/>
      <c r="J625" s="7"/>
      <c r="K625" s="7"/>
    </row>
    <row r="626">
      <c r="H626" s="7"/>
      <c r="J626" s="7"/>
      <c r="K626" s="7"/>
    </row>
    <row r="627">
      <c r="H627" s="7"/>
      <c r="J627" s="7"/>
      <c r="K627" s="7"/>
    </row>
    <row r="628">
      <c r="H628" s="7"/>
      <c r="J628" s="7"/>
      <c r="K628" s="7"/>
    </row>
    <row r="629">
      <c r="H629" s="7"/>
      <c r="J629" s="7"/>
      <c r="K629" s="7"/>
    </row>
    <row r="630">
      <c r="H630" s="7"/>
      <c r="J630" s="7"/>
      <c r="K630" s="7"/>
    </row>
    <row r="631">
      <c r="H631" s="7"/>
      <c r="J631" s="7"/>
      <c r="K631" s="7"/>
    </row>
    <row r="632">
      <c r="H632" s="7"/>
      <c r="J632" s="7"/>
      <c r="K632" s="7"/>
    </row>
    <row r="633">
      <c r="H633" s="7"/>
      <c r="J633" s="7"/>
      <c r="K633" s="7"/>
    </row>
    <row r="634">
      <c r="H634" s="7"/>
      <c r="J634" s="7"/>
      <c r="K634" s="7"/>
    </row>
    <row r="635">
      <c r="H635" s="7"/>
      <c r="J635" s="7"/>
      <c r="K635" s="7"/>
    </row>
    <row r="636">
      <c r="H636" s="7"/>
      <c r="J636" s="7"/>
      <c r="K636" s="7"/>
    </row>
    <row r="637">
      <c r="H637" s="7"/>
      <c r="J637" s="7"/>
      <c r="K637" s="7"/>
    </row>
    <row r="638">
      <c r="H638" s="7"/>
      <c r="J638" s="7"/>
      <c r="K638" s="7"/>
    </row>
    <row r="639">
      <c r="H639" s="7"/>
      <c r="J639" s="7"/>
      <c r="K639" s="7"/>
    </row>
    <row r="640">
      <c r="H640" s="7"/>
      <c r="J640" s="7"/>
      <c r="K640" s="7"/>
    </row>
    <row r="641">
      <c r="H641" s="7"/>
      <c r="J641" s="7"/>
      <c r="K641" s="7"/>
    </row>
    <row r="642">
      <c r="H642" s="7"/>
      <c r="J642" s="7"/>
      <c r="K642" s="7"/>
    </row>
    <row r="643">
      <c r="H643" s="7"/>
      <c r="J643" s="7"/>
      <c r="K643" s="7"/>
    </row>
    <row r="644">
      <c r="H644" s="7"/>
      <c r="J644" s="7"/>
      <c r="K644" s="7"/>
    </row>
    <row r="645">
      <c r="H645" s="7"/>
      <c r="J645" s="7"/>
      <c r="K645" s="7"/>
    </row>
    <row r="646">
      <c r="H646" s="7"/>
      <c r="J646" s="7"/>
      <c r="K646" s="7"/>
    </row>
    <row r="647">
      <c r="H647" s="7"/>
      <c r="J647" s="7"/>
      <c r="K647" s="7"/>
    </row>
    <row r="648">
      <c r="H648" s="7"/>
      <c r="J648" s="7"/>
      <c r="K648" s="7"/>
    </row>
    <row r="649">
      <c r="H649" s="7"/>
      <c r="J649" s="7"/>
      <c r="K649" s="7"/>
    </row>
    <row r="650">
      <c r="H650" s="7"/>
      <c r="J650" s="7"/>
      <c r="K650" s="7"/>
    </row>
    <row r="651">
      <c r="H651" s="7"/>
      <c r="J651" s="7"/>
      <c r="K651" s="7"/>
    </row>
    <row r="652">
      <c r="H652" s="7"/>
      <c r="J652" s="7"/>
      <c r="K652" s="7"/>
    </row>
    <row r="653">
      <c r="H653" s="7"/>
      <c r="J653" s="7"/>
      <c r="K653" s="7"/>
    </row>
    <row r="654">
      <c r="H654" s="7"/>
      <c r="J654" s="7"/>
      <c r="K654" s="7"/>
    </row>
    <row r="655">
      <c r="H655" s="7"/>
      <c r="J655" s="7"/>
      <c r="K655" s="7"/>
    </row>
    <row r="656">
      <c r="H656" s="7"/>
      <c r="J656" s="7"/>
      <c r="K656" s="7"/>
    </row>
    <row r="657">
      <c r="H657" s="7"/>
      <c r="J657" s="7"/>
      <c r="K657" s="7"/>
    </row>
    <row r="658">
      <c r="H658" s="7"/>
      <c r="J658" s="7"/>
      <c r="K658" s="7"/>
    </row>
    <row r="659">
      <c r="H659" s="7"/>
      <c r="J659" s="7"/>
      <c r="K659" s="7"/>
    </row>
    <row r="660">
      <c r="H660" s="7"/>
      <c r="J660" s="7"/>
      <c r="K660" s="7"/>
    </row>
    <row r="661">
      <c r="H661" s="7"/>
      <c r="J661" s="7"/>
      <c r="K661" s="7"/>
    </row>
    <row r="662">
      <c r="H662" s="7"/>
      <c r="J662" s="7"/>
      <c r="K662" s="7"/>
    </row>
    <row r="663">
      <c r="H663" s="7"/>
      <c r="J663" s="7"/>
      <c r="K663" s="7"/>
    </row>
    <row r="664">
      <c r="H664" s="7"/>
      <c r="J664" s="7"/>
      <c r="K664" s="7"/>
    </row>
    <row r="665">
      <c r="H665" s="7"/>
      <c r="J665" s="7"/>
      <c r="K665" s="7"/>
    </row>
    <row r="666">
      <c r="H666" s="7"/>
      <c r="J666" s="7"/>
      <c r="K666" s="7"/>
    </row>
    <row r="667">
      <c r="H667" s="7"/>
      <c r="J667" s="7"/>
      <c r="K667" s="7"/>
    </row>
    <row r="668">
      <c r="H668" s="7"/>
      <c r="J668" s="7"/>
      <c r="K668" s="7"/>
    </row>
    <row r="669">
      <c r="H669" s="7"/>
      <c r="J669" s="7"/>
      <c r="K669" s="7"/>
    </row>
    <row r="670">
      <c r="H670" s="7"/>
      <c r="J670" s="7"/>
      <c r="K670" s="7"/>
    </row>
    <row r="671">
      <c r="H671" s="7"/>
      <c r="J671" s="7"/>
      <c r="K671" s="7"/>
    </row>
    <row r="672">
      <c r="H672" s="7"/>
      <c r="J672" s="7"/>
      <c r="K672" s="7"/>
    </row>
    <row r="673">
      <c r="H673" s="7"/>
      <c r="J673" s="7"/>
      <c r="K673" s="7"/>
    </row>
    <row r="674">
      <c r="H674" s="7"/>
      <c r="J674" s="7"/>
      <c r="K674" s="7"/>
    </row>
    <row r="675">
      <c r="H675" s="7"/>
      <c r="J675" s="7"/>
      <c r="K675" s="7"/>
    </row>
    <row r="676">
      <c r="H676" s="7"/>
      <c r="J676" s="7"/>
      <c r="K676" s="7"/>
    </row>
    <row r="677">
      <c r="H677" s="7"/>
      <c r="J677" s="7"/>
      <c r="K677" s="7"/>
    </row>
    <row r="678">
      <c r="H678" s="7"/>
      <c r="J678" s="7"/>
      <c r="K678" s="7"/>
    </row>
    <row r="679">
      <c r="H679" s="7"/>
      <c r="J679" s="7"/>
      <c r="K679" s="7"/>
    </row>
    <row r="680">
      <c r="H680" s="7"/>
      <c r="J680" s="7"/>
      <c r="K680" s="7"/>
    </row>
    <row r="681">
      <c r="H681" s="7"/>
      <c r="J681" s="7"/>
      <c r="K681" s="7"/>
    </row>
    <row r="682">
      <c r="H682" s="7"/>
      <c r="J682" s="7"/>
      <c r="K682" s="7"/>
    </row>
    <row r="683">
      <c r="H683" s="7"/>
      <c r="J683" s="7"/>
      <c r="K683" s="7"/>
    </row>
    <row r="684">
      <c r="H684" s="7"/>
      <c r="J684" s="7"/>
      <c r="K684" s="7"/>
    </row>
    <row r="685">
      <c r="H685" s="7"/>
      <c r="J685" s="7"/>
      <c r="K685" s="7"/>
    </row>
    <row r="686">
      <c r="H686" s="7"/>
      <c r="J686" s="7"/>
      <c r="K686" s="7"/>
    </row>
    <row r="687">
      <c r="H687" s="7"/>
      <c r="J687" s="7"/>
      <c r="K687" s="7"/>
    </row>
    <row r="688">
      <c r="H688" s="7"/>
      <c r="J688" s="7"/>
      <c r="K688" s="7"/>
    </row>
    <row r="689">
      <c r="H689" s="7"/>
      <c r="J689" s="7"/>
      <c r="K689" s="7"/>
    </row>
    <row r="690">
      <c r="H690" s="7"/>
      <c r="J690" s="7"/>
      <c r="K690" s="7"/>
    </row>
    <row r="691">
      <c r="H691" s="7"/>
      <c r="J691" s="7"/>
      <c r="K691" s="7"/>
    </row>
    <row r="692">
      <c r="H692" s="7"/>
      <c r="J692" s="7"/>
      <c r="K692" s="7"/>
    </row>
    <row r="693">
      <c r="H693" s="7"/>
      <c r="J693" s="7"/>
      <c r="K693" s="7"/>
    </row>
    <row r="694">
      <c r="H694" s="7"/>
      <c r="J694" s="7"/>
      <c r="K694" s="7"/>
    </row>
    <row r="695">
      <c r="H695" s="7"/>
      <c r="J695" s="7"/>
      <c r="K695" s="7"/>
    </row>
    <row r="696">
      <c r="H696" s="7"/>
      <c r="J696" s="7"/>
      <c r="K696" s="7"/>
    </row>
    <row r="697">
      <c r="H697" s="7"/>
      <c r="J697" s="7"/>
      <c r="K697" s="7"/>
    </row>
    <row r="698">
      <c r="H698" s="7"/>
      <c r="J698" s="7"/>
      <c r="K698" s="7"/>
    </row>
    <row r="699">
      <c r="H699" s="7"/>
      <c r="J699" s="7"/>
      <c r="K699" s="7"/>
    </row>
    <row r="700">
      <c r="H700" s="7"/>
      <c r="J700" s="7"/>
      <c r="K700" s="7"/>
    </row>
    <row r="701">
      <c r="H701" s="7"/>
      <c r="J701" s="7"/>
      <c r="K701" s="7"/>
    </row>
    <row r="702">
      <c r="H702" s="7"/>
      <c r="J702" s="7"/>
      <c r="K702" s="7"/>
    </row>
    <row r="703">
      <c r="H703" s="7"/>
      <c r="J703" s="7"/>
      <c r="K703" s="7"/>
    </row>
    <row r="704">
      <c r="H704" s="7"/>
      <c r="J704" s="7"/>
      <c r="K704" s="7"/>
    </row>
    <row r="705">
      <c r="H705" s="7"/>
      <c r="J705" s="7"/>
      <c r="K705" s="7"/>
    </row>
    <row r="706">
      <c r="H706" s="7"/>
      <c r="J706" s="7"/>
      <c r="K706" s="7"/>
    </row>
    <row r="707">
      <c r="H707" s="7"/>
      <c r="J707" s="7"/>
      <c r="K707" s="7"/>
    </row>
    <row r="708">
      <c r="H708" s="7"/>
      <c r="J708" s="7"/>
      <c r="K708" s="7"/>
    </row>
    <row r="709">
      <c r="H709" s="7"/>
      <c r="J709" s="7"/>
      <c r="K709" s="7"/>
    </row>
    <row r="710">
      <c r="H710" s="7"/>
      <c r="J710" s="7"/>
      <c r="K710" s="7"/>
    </row>
    <row r="711">
      <c r="H711" s="7"/>
      <c r="J711" s="7"/>
      <c r="K711" s="7"/>
    </row>
    <row r="712">
      <c r="H712" s="7"/>
      <c r="J712" s="7"/>
      <c r="K712" s="7"/>
    </row>
    <row r="713">
      <c r="H713" s="7"/>
      <c r="J713" s="7"/>
      <c r="K713" s="7"/>
    </row>
    <row r="714">
      <c r="H714" s="7"/>
      <c r="J714" s="7"/>
      <c r="K714" s="7"/>
    </row>
    <row r="715">
      <c r="H715" s="7"/>
      <c r="J715" s="7"/>
      <c r="K715" s="7"/>
    </row>
    <row r="716">
      <c r="H716" s="7"/>
      <c r="J716" s="7"/>
      <c r="K716" s="7"/>
    </row>
    <row r="717">
      <c r="H717" s="7"/>
      <c r="J717" s="7"/>
      <c r="K717" s="7"/>
    </row>
    <row r="718">
      <c r="H718" s="7"/>
      <c r="J718" s="7"/>
      <c r="K718" s="7"/>
    </row>
    <row r="719">
      <c r="H719" s="7"/>
      <c r="J719" s="7"/>
      <c r="K719" s="7"/>
    </row>
    <row r="720">
      <c r="H720" s="7"/>
      <c r="J720" s="7"/>
      <c r="K720" s="7"/>
    </row>
    <row r="721">
      <c r="H721" s="7"/>
      <c r="J721" s="7"/>
      <c r="K721" s="7"/>
    </row>
    <row r="722">
      <c r="H722" s="7"/>
      <c r="J722" s="7"/>
      <c r="K722" s="7"/>
    </row>
    <row r="723">
      <c r="H723" s="7"/>
      <c r="J723" s="7"/>
      <c r="K723" s="7"/>
    </row>
    <row r="724">
      <c r="H724" s="7"/>
      <c r="J724" s="7"/>
      <c r="K724" s="7"/>
    </row>
    <row r="725">
      <c r="H725" s="7"/>
      <c r="J725" s="7"/>
      <c r="K725" s="7"/>
    </row>
    <row r="726">
      <c r="H726" s="7"/>
      <c r="J726" s="7"/>
      <c r="K726" s="7"/>
    </row>
    <row r="727">
      <c r="H727" s="7"/>
      <c r="J727" s="7"/>
      <c r="K727" s="7"/>
    </row>
    <row r="728">
      <c r="H728" s="7"/>
      <c r="J728" s="7"/>
      <c r="K728" s="7"/>
    </row>
    <row r="729">
      <c r="H729" s="7"/>
      <c r="J729" s="7"/>
      <c r="K729" s="7"/>
    </row>
    <row r="730">
      <c r="H730" s="7"/>
      <c r="J730" s="7"/>
      <c r="K730" s="7"/>
    </row>
    <row r="731">
      <c r="H731" s="7"/>
      <c r="J731" s="7"/>
      <c r="K731" s="7"/>
    </row>
    <row r="732">
      <c r="H732" s="7"/>
      <c r="J732" s="7"/>
      <c r="K732" s="7"/>
    </row>
    <row r="733">
      <c r="H733" s="7"/>
      <c r="J733" s="7"/>
      <c r="K733" s="7"/>
    </row>
    <row r="734">
      <c r="H734" s="7"/>
      <c r="J734" s="7"/>
      <c r="K734" s="7"/>
    </row>
    <row r="735">
      <c r="H735" s="7"/>
      <c r="J735" s="7"/>
      <c r="K735" s="7"/>
    </row>
    <row r="736">
      <c r="H736" s="7"/>
      <c r="J736" s="7"/>
      <c r="K736" s="7"/>
    </row>
    <row r="737">
      <c r="H737" s="7"/>
      <c r="J737" s="7"/>
      <c r="K737" s="7"/>
    </row>
    <row r="738">
      <c r="H738" s="7"/>
      <c r="J738" s="7"/>
      <c r="K738" s="7"/>
    </row>
    <row r="739">
      <c r="H739" s="7"/>
      <c r="J739" s="7"/>
      <c r="K739" s="7"/>
    </row>
    <row r="740">
      <c r="H740" s="7"/>
      <c r="J740" s="7"/>
      <c r="K740" s="7"/>
    </row>
    <row r="741">
      <c r="H741" s="7"/>
      <c r="J741" s="7"/>
      <c r="K741" s="7"/>
    </row>
    <row r="742">
      <c r="H742" s="7"/>
      <c r="J742" s="7"/>
      <c r="K742" s="7"/>
    </row>
    <row r="743">
      <c r="H743" s="7"/>
      <c r="J743" s="7"/>
      <c r="K743" s="7"/>
    </row>
    <row r="744">
      <c r="H744" s="7"/>
      <c r="J744" s="7"/>
      <c r="K744" s="7"/>
    </row>
    <row r="745">
      <c r="H745" s="7"/>
      <c r="J745" s="7"/>
      <c r="K745" s="7"/>
    </row>
    <row r="746">
      <c r="H746" s="7"/>
      <c r="J746" s="7"/>
      <c r="K746" s="7"/>
    </row>
    <row r="747">
      <c r="H747" s="7"/>
      <c r="J747" s="7"/>
      <c r="K747" s="7"/>
    </row>
    <row r="748">
      <c r="H748" s="7"/>
      <c r="J748" s="7"/>
      <c r="K748" s="7"/>
    </row>
    <row r="749">
      <c r="H749" s="7"/>
      <c r="J749" s="7"/>
      <c r="K749" s="7"/>
    </row>
    <row r="750">
      <c r="H750" s="7"/>
      <c r="J750" s="7"/>
      <c r="K750" s="7"/>
    </row>
    <row r="751">
      <c r="H751" s="7"/>
      <c r="J751" s="7"/>
      <c r="K751" s="7"/>
    </row>
    <row r="752">
      <c r="H752" s="7"/>
      <c r="J752" s="7"/>
      <c r="K752" s="7"/>
    </row>
    <row r="753">
      <c r="H753" s="7"/>
      <c r="J753" s="7"/>
      <c r="K753" s="7"/>
    </row>
    <row r="754">
      <c r="H754" s="7"/>
      <c r="J754" s="7"/>
      <c r="K754" s="7"/>
    </row>
    <row r="755">
      <c r="H755" s="7"/>
      <c r="J755" s="7"/>
      <c r="K755" s="7"/>
    </row>
    <row r="756">
      <c r="H756" s="7"/>
      <c r="J756" s="7"/>
      <c r="K756" s="7"/>
    </row>
    <row r="757">
      <c r="H757" s="7"/>
      <c r="J757" s="7"/>
      <c r="K757" s="7"/>
    </row>
    <row r="758">
      <c r="H758" s="7"/>
      <c r="J758" s="7"/>
      <c r="K758" s="7"/>
    </row>
    <row r="759">
      <c r="H759" s="7"/>
      <c r="J759" s="7"/>
      <c r="K759" s="7"/>
    </row>
    <row r="760">
      <c r="H760" s="7"/>
      <c r="J760" s="7"/>
      <c r="K760" s="7"/>
    </row>
    <row r="761">
      <c r="H761" s="7"/>
      <c r="J761" s="7"/>
      <c r="K761" s="7"/>
    </row>
    <row r="762">
      <c r="H762" s="7"/>
      <c r="J762" s="7"/>
      <c r="K762" s="7"/>
    </row>
    <row r="763">
      <c r="H763" s="7"/>
      <c r="J763" s="7"/>
      <c r="K763" s="7"/>
    </row>
    <row r="764">
      <c r="H764" s="7"/>
      <c r="J764" s="7"/>
      <c r="K764" s="7"/>
    </row>
    <row r="765">
      <c r="H765" s="7"/>
      <c r="J765" s="7"/>
      <c r="K765" s="7"/>
    </row>
    <row r="766">
      <c r="H766" s="7"/>
      <c r="J766" s="7"/>
      <c r="K766" s="7"/>
    </row>
    <row r="767">
      <c r="H767" s="7"/>
      <c r="J767" s="7"/>
      <c r="K767" s="7"/>
    </row>
    <row r="768">
      <c r="H768" s="7"/>
      <c r="J768" s="7"/>
      <c r="K768" s="7"/>
    </row>
    <row r="769">
      <c r="H769" s="7"/>
      <c r="J769" s="7"/>
      <c r="K769" s="7"/>
    </row>
    <row r="770">
      <c r="H770" s="7"/>
      <c r="J770" s="7"/>
      <c r="K770" s="7"/>
    </row>
    <row r="771">
      <c r="H771" s="7"/>
      <c r="J771" s="7"/>
      <c r="K771" s="7"/>
    </row>
    <row r="772">
      <c r="H772" s="7"/>
      <c r="J772" s="7"/>
      <c r="K772" s="7"/>
    </row>
    <row r="773">
      <c r="H773" s="7"/>
      <c r="J773" s="7"/>
      <c r="K773" s="7"/>
    </row>
    <row r="774">
      <c r="H774" s="7"/>
      <c r="J774" s="7"/>
      <c r="K774" s="7"/>
    </row>
    <row r="775">
      <c r="H775" s="7"/>
      <c r="J775" s="7"/>
      <c r="K775" s="7"/>
    </row>
    <row r="776">
      <c r="H776" s="7"/>
      <c r="J776" s="7"/>
      <c r="K776" s="7"/>
    </row>
    <row r="777">
      <c r="H777" s="7"/>
      <c r="J777" s="7"/>
      <c r="K777" s="7"/>
    </row>
    <row r="778">
      <c r="H778" s="7"/>
      <c r="J778" s="7"/>
      <c r="K778" s="7"/>
    </row>
    <row r="779">
      <c r="H779" s="7"/>
      <c r="J779" s="7"/>
      <c r="K779" s="7"/>
    </row>
    <row r="780">
      <c r="H780" s="7"/>
      <c r="J780" s="7"/>
      <c r="K780" s="7"/>
    </row>
    <row r="781">
      <c r="H781" s="7"/>
      <c r="J781" s="7"/>
      <c r="K781" s="7"/>
    </row>
    <row r="782">
      <c r="H782" s="7"/>
      <c r="J782" s="7"/>
      <c r="K782" s="7"/>
    </row>
    <row r="783">
      <c r="H783" s="7"/>
      <c r="J783" s="7"/>
      <c r="K783" s="7"/>
    </row>
    <row r="784">
      <c r="H784" s="7"/>
      <c r="J784" s="7"/>
      <c r="K784" s="7"/>
    </row>
    <row r="785">
      <c r="H785" s="7"/>
      <c r="J785" s="7"/>
      <c r="K785" s="7"/>
    </row>
    <row r="786">
      <c r="H786" s="7"/>
      <c r="J786" s="7"/>
      <c r="K786" s="7"/>
    </row>
    <row r="787">
      <c r="H787" s="7"/>
      <c r="J787" s="7"/>
      <c r="K787" s="7"/>
    </row>
    <row r="788">
      <c r="H788" s="7"/>
      <c r="J788" s="7"/>
      <c r="K788" s="7"/>
    </row>
    <row r="789">
      <c r="H789" s="7"/>
      <c r="J789" s="7"/>
      <c r="K789" s="7"/>
    </row>
    <row r="790">
      <c r="H790" s="7"/>
      <c r="J790" s="7"/>
      <c r="K790" s="7"/>
    </row>
    <row r="791">
      <c r="H791" s="7"/>
      <c r="J791" s="7"/>
      <c r="K791" s="7"/>
    </row>
    <row r="792">
      <c r="H792" s="7"/>
      <c r="J792" s="7"/>
      <c r="K792" s="7"/>
    </row>
    <row r="793">
      <c r="H793" s="7"/>
      <c r="J793" s="7"/>
      <c r="K793" s="7"/>
    </row>
    <row r="794">
      <c r="H794" s="7"/>
      <c r="J794" s="7"/>
      <c r="K794" s="7"/>
    </row>
    <row r="795">
      <c r="H795" s="7"/>
      <c r="J795" s="7"/>
      <c r="K795" s="7"/>
    </row>
    <row r="796">
      <c r="H796" s="7"/>
      <c r="J796" s="7"/>
      <c r="K796" s="7"/>
    </row>
    <row r="797">
      <c r="H797" s="7"/>
      <c r="J797" s="7"/>
      <c r="K797" s="7"/>
    </row>
    <row r="798">
      <c r="H798" s="7"/>
      <c r="J798" s="7"/>
      <c r="K798" s="7"/>
    </row>
    <row r="799">
      <c r="H799" s="7"/>
      <c r="J799" s="7"/>
      <c r="K799" s="7"/>
    </row>
    <row r="800">
      <c r="H800" s="7"/>
      <c r="J800" s="7"/>
      <c r="K800" s="7"/>
    </row>
    <row r="801">
      <c r="H801" s="7"/>
      <c r="J801" s="7"/>
      <c r="K801" s="7"/>
    </row>
    <row r="802">
      <c r="H802" s="7"/>
      <c r="J802" s="7"/>
      <c r="K802" s="7"/>
    </row>
    <row r="803">
      <c r="H803" s="7"/>
      <c r="J803" s="7"/>
      <c r="K803" s="7"/>
    </row>
    <row r="804">
      <c r="H804" s="7"/>
      <c r="J804" s="7"/>
      <c r="K804" s="7"/>
    </row>
    <row r="805">
      <c r="H805" s="7"/>
      <c r="J805" s="7"/>
      <c r="K805" s="7"/>
    </row>
    <row r="806">
      <c r="H806" s="7"/>
      <c r="J806" s="7"/>
      <c r="K806" s="7"/>
    </row>
    <row r="807">
      <c r="H807" s="7"/>
      <c r="J807" s="7"/>
      <c r="K807" s="7"/>
    </row>
    <row r="808">
      <c r="H808" s="7"/>
      <c r="J808" s="7"/>
      <c r="K808" s="7"/>
    </row>
    <row r="809">
      <c r="H809" s="7"/>
      <c r="J809" s="7"/>
      <c r="K809" s="7"/>
    </row>
    <row r="810">
      <c r="H810" s="7"/>
      <c r="J810" s="7"/>
      <c r="K810" s="7"/>
    </row>
    <row r="811">
      <c r="H811" s="7"/>
      <c r="J811" s="7"/>
      <c r="K811" s="7"/>
    </row>
    <row r="812">
      <c r="H812" s="7"/>
      <c r="J812" s="7"/>
      <c r="K812" s="7"/>
    </row>
    <row r="813">
      <c r="H813" s="7"/>
      <c r="J813" s="7"/>
      <c r="K813" s="7"/>
    </row>
    <row r="814">
      <c r="H814" s="7"/>
      <c r="J814" s="7"/>
      <c r="K814" s="7"/>
    </row>
    <row r="815">
      <c r="H815" s="7"/>
      <c r="J815" s="7"/>
      <c r="K815" s="7"/>
    </row>
    <row r="816">
      <c r="H816" s="7"/>
      <c r="J816" s="7"/>
      <c r="K816" s="7"/>
    </row>
    <row r="817">
      <c r="H817" s="7"/>
      <c r="J817" s="7"/>
      <c r="K817" s="7"/>
    </row>
    <row r="818">
      <c r="H818" s="7"/>
      <c r="J818" s="7"/>
      <c r="K818" s="7"/>
    </row>
    <row r="819">
      <c r="H819" s="7"/>
      <c r="J819" s="7"/>
      <c r="K819" s="7"/>
    </row>
    <row r="820">
      <c r="H820" s="7"/>
      <c r="J820" s="7"/>
      <c r="K820" s="7"/>
    </row>
    <row r="821">
      <c r="H821" s="7"/>
      <c r="J821" s="7"/>
      <c r="K821" s="7"/>
    </row>
    <row r="822">
      <c r="H822" s="7"/>
      <c r="J822" s="7"/>
      <c r="K822" s="7"/>
    </row>
    <row r="823">
      <c r="H823" s="7"/>
      <c r="J823" s="7"/>
      <c r="K823" s="7"/>
    </row>
    <row r="824">
      <c r="H824" s="7"/>
      <c r="J824" s="7"/>
      <c r="K824" s="7"/>
    </row>
    <row r="825">
      <c r="H825" s="7"/>
      <c r="J825" s="7"/>
      <c r="K825" s="7"/>
    </row>
    <row r="826">
      <c r="H826" s="7"/>
      <c r="J826" s="7"/>
      <c r="K826" s="7"/>
    </row>
    <row r="827">
      <c r="H827" s="7"/>
      <c r="J827" s="7"/>
      <c r="K827" s="7"/>
    </row>
    <row r="828">
      <c r="H828" s="7"/>
      <c r="J828" s="7"/>
      <c r="K828" s="7"/>
    </row>
    <row r="829">
      <c r="H829" s="7"/>
      <c r="J829" s="7"/>
      <c r="K829" s="7"/>
    </row>
    <row r="830">
      <c r="H830" s="7"/>
      <c r="J830" s="7"/>
      <c r="K830" s="7"/>
    </row>
    <row r="831">
      <c r="H831" s="7"/>
      <c r="J831" s="7"/>
      <c r="K831" s="7"/>
    </row>
    <row r="832">
      <c r="H832" s="7"/>
      <c r="J832" s="7"/>
      <c r="K832" s="7"/>
    </row>
    <row r="833">
      <c r="H833" s="7"/>
      <c r="J833" s="7"/>
      <c r="K833" s="7"/>
    </row>
    <row r="834">
      <c r="H834" s="7"/>
      <c r="J834" s="7"/>
      <c r="K834" s="7"/>
    </row>
    <row r="835">
      <c r="H835" s="7"/>
      <c r="J835" s="7"/>
      <c r="K835" s="7"/>
    </row>
    <row r="836">
      <c r="H836" s="7"/>
      <c r="J836" s="7"/>
      <c r="K836" s="7"/>
    </row>
    <row r="837">
      <c r="H837" s="7"/>
      <c r="J837" s="7"/>
      <c r="K837" s="7"/>
    </row>
    <row r="838">
      <c r="H838" s="7"/>
      <c r="J838" s="7"/>
      <c r="K838" s="7"/>
    </row>
    <row r="839">
      <c r="H839" s="7"/>
      <c r="J839" s="7"/>
      <c r="K839" s="7"/>
    </row>
    <row r="840">
      <c r="H840" s="7"/>
      <c r="J840" s="7"/>
      <c r="K840" s="7"/>
    </row>
    <row r="841">
      <c r="H841" s="7"/>
      <c r="J841" s="7"/>
      <c r="K841" s="7"/>
    </row>
    <row r="842">
      <c r="H842" s="7"/>
      <c r="J842" s="7"/>
      <c r="K842" s="7"/>
    </row>
    <row r="843">
      <c r="H843" s="7"/>
      <c r="J843" s="7"/>
      <c r="K843" s="7"/>
    </row>
    <row r="844">
      <c r="H844" s="7"/>
      <c r="J844" s="7"/>
      <c r="K844" s="7"/>
    </row>
    <row r="845">
      <c r="H845" s="7"/>
      <c r="J845" s="7"/>
      <c r="K845" s="7"/>
    </row>
    <row r="846">
      <c r="H846" s="7"/>
      <c r="J846" s="7"/>
      <c r="K846" s="7"/>
    </row>
    <row r="847">
      <c r="H847" s="7"/>
      <c r="J847" s="7"/>
      <c r="K847" s="7"/>
    </row>
    <row r="848">
      <c r="H848" s="7"/>
      <c r="J848" s="7"/>
      <c r="K848" s="7"/>
    </row>
    <row r="849">
      <c r="H849" s="7"/>
      <c r="J849" s="7"/>
      <c r="K849" s="7"/>
    </row>
    <row r="850">
      <c r="H850" s="7"/>
      <c r="J850" s="7"/>
      <c r="K850" s="7"/>
    </row>
    <row r="851">
      <c r="H851" s="7"/>
      <c r="J851" s="7"/>
      <c r="K851" s="7"/>
    </row>
    <row r="852">
      <c r="H852" s="7"/>
      <c r="J852" s="7"/>
      <c r="K852" s="7"/>
    </row>
    <row r="853">
      <c r="H853" s="7"/>
      <c r="J853" s="7"/>
      <c r="K853" s="7"/>
    </row>
    <row r="854">
      <c r="H854" s="7"/>
      <c r="J854" s="7"/>
      <c r="K854" s="7"/>
    </row>
    <row r="855">
      <c r="H855" s="7"/>
      <c r="J855" s="7"/>
      <c r="K855" s="7"/>
    </row>
    <row r="856">
      <c r="H856" s="7"/>
      <c r="J856" s="7"/>
      <c r="K856" s="7"/>
    </row>
    <row r="857">
      <c r="H857" s="7"/>
      <c r="J857" s="7"/>
      <c r="K857" s="7"/>
    </row>
    <row r="858">
      <c r="H858" s="7"/>
      <c r="J858" s="7"/>
      <c r="K858" s="7"/>
    </row>
    <row r="859">
      <c r="H859" s="7"/>
      <c r="J859" s="7"/>
      <c r="K859" s="7"/>
    </row>
    <row r="860">
      <c r="H860" s="7"/>
      <c r="J860" s="7"/>
      <c r="K860" s="7"/>
    </row>
    <row r="861">
      <c r="H861" s="7"/>
      <c r="J861" s="7"/>
      <c r="K861" s="7"/>
    </row>
    <row r="862">
      <c r="H862" s="7"/>
      <c r="J862" s="7"/>
      <c r="K862" s="7"/>
    </row>
    <row r="863">
      <c r="H863" s="7"/>
      <c r="J863" s="7"/>
      <c r="K863" s="7"/>
    </row>
    <row r="864">
      <c r="H864" s="7"/>
      <c r="J864" s="7"/>
      <c r="K864" s="7"/>
    </row>
    <row r="865">
      <c r="H865" s="7"/>
      <c r="J865" s="7"/>
      <c r="K865" s="7"/>
    </row>
    <row r="866">
      <c r="H866" s="7"/>
      <c r="J866" s="7"/>
      <c r="K866" s="7"/>
    </row>
    <row r="867">
      <c r="H867" s="7"/>
      <c r="J867" s="7"/>
      <c r="K867" s="7"/>
    </row>
    <row r="868">
      <c r="H868" s="7"/>
      <c r="J868" s="7"/>
      <c r="K868" s="7"/>
    </row>
    <row r="869">
      <c r="H869" s="7"/>
      <c r="J869" s="7"/>
      <c r="K869" s="7"/>
    </row>
    <row r="870">
      <c r="H870" s="7"/>
      <c r="J870" s="7"/>
      <c r="K870" s="7"/>
    </row>
    <row r="871">
      <c r="H871" s="7"/>
      <c r="J871" s="7"/>
      <c r="K871" s="7"/>
    </row>
    <row r="872">
      <c r="H872" s="7"/>
      <c r="J872" s="7"/>
      <c r="K872" s="7"/>
    </row>
    <row r="873">
      <c r="H873" s="7"/>
      <c r="J873" s="7"/>
      <c r="K873" s="7"/>
    </row>
    <row r="874">
      <c r="H874" s="7"/>
      <c r="J874" s="7"/>
      <c r="K874" s="7"/>
    </row>
    <row r="875">
      <c r="H875" s="7"/>
      <c r="J875" s="7"/>
      <c r="K875" s="7"/>
    </row>
    <row r="876">
      <c r="H876" s="7"/>
      <c r="J876" s="7"/>
      <c r="K876" s="7"/>
    </row>
    <row r="877">
      <c r="H877" s="7"/>
      <c r="J877" s="7"/>
      <c r="K877" s="7"/>
    </row>
    <row r="878">
      <c r="H878" s="7"/>
      <c r="J878" s="7"/>
      <c r="K878" s="7"/>
    </row>
    <row r="879">
      <c r="H879" s="7"/>
      <c r="J879" s="7"/>
      <c r="K879" s="7"/>
    </row>
    <row r="880">
      <c r="H880" s="7"/>
      <c r="J880" s="7"/>
      <c r="K880" s="7"/>
    </row>
    <row r="881">
      <c r="H881" s="7"/>
      <c r="J881" s="7"/>
      <c r="K881" s="7"/>
    </row>
    <row r="882">
      <c r="H882" s="7"/>
      <c r="J882" s="7"/>
      <c r="K882" s="7"/>
    </row>
    <row r="883">
      <c r="H883" s="7"/>
      <c r="J883" s="7"/>
      <c r="K883" s="7"/>
    </row>
    <row r="884">
      <c r="H884" s="7"/>
      <c r="J884" s="7"/>
      <c r="K884" s="7"/>
    </row>
    <row r="885">
      <c r="H885" s="7"/>
      <c r="J885" s="7"/>
      <c r="K885" s="7"/>
    </row>
    <row r="886">
      <c r="H886" s="7"/>
      <c r="J886" s="7"/>
      <c r="K886" s="7"/>
    </row>
    <row r="887">
      <c r="H887" s="7"/>
      <c r="J887" s="7"/>
      <c r="K887" s="7"/>
    </row>
    <row r="888">
      <c r="H888" s="7"/>
      <c r="J888" s="7"/>
      <c r="K888" s="7"/>
    </row>
    <row r="889">
      <c r="H889" s="7"/>
      <c r="J889" s="7"/>
      <c r="K889" s="7"/>
    </row>
    <row r="890">
      <c r="H890" s="7"/>
      <c r="J890" s="7"/>
      <c r="K890" s="7"/>
    </row>
    <row r="891">
      <c r="H891" s="7"/>
      <c r="J891" s="7"/>
      <c r="K891" s="7"/>
    </row>
    <row r="892">
      <c r="H892" s="7"/>
      <c r="J892" s="7"/>
      <c r="K892" s="7"/>
    </row>
    <row r="893">
      <c r="H893" s="7"/>
      <c r="J893" s="7"/>
      <c r="K893" s="7"/>
    </row>
    <row r="894">
      <c r="H894" s="7"/>
      <c r="J894" s="7"/>
      <c r="K894" s="7"/>
    </row>
    <row r="895">
      <c r="H895" s="7"/>
      <c r="J895" s="7"/>
      <c r="K895" s="7"/>
    </row>
    <row r="896">
      <c r="H896" s="7"/>
      <c r="J896" s="7"/>
      <c r="K896" s="7"/>
    </row>
    <row r="897">
      <c r="H897" s="7"/>
      <c r="J897" s="7"/>
      <c r="K897" s="7"/>
    </row>
    <row r="898">
      <c r="H898" s="7"/>
      <c r="J898" s="7"/>
      <c r="K898" s="7"/>
    </row>
    <row r="899">
      <c r="H899" s="7"/>
      <c r="J899" s="7"/>
      <c r="K899" s="7"/>
    </row>
    <row r="900">
      <c r="H900" s="7"/>
      <c r="J900" s="7"/>
      <c r="K900" s="7"/>
    </row>
    <row r="901">
      <c r="H901" s="7"/>
      <c r="J901" s="7"/>
      <c r="K901" s="7"/>
    </row>
    <row r="902">
      <c r="H902" s="7"/>
      <c r="J902" s="7"/>
      <c r="K902" s="7"/>
    </row>
    <row r="903">
      <c r="H903" s="7"/>
      <c r="J903" s="7"/>
      <c r="K903" s="7"/>
    </row>
    <row r="904">
      <c r="H904" s="7"/>
      <c r="J904" s="7"/>
      <c r="K904" s="7"/>
    </row>
    <row r="905">
      <c r="H905" s="7"/>
      <c r="J905" s="7"/>
      <c r="K905" s="7"/>
    </row>
    <row r="906">
      <c r="H906" s="7"/>
      <c r="J906" s="7"/>
      <c r="K906" s="7"/>
    </row>
    <row r="907">
      <c r="H907" s="7"/>
      <c r="J907" s="7"/>
      <c r="K907" s="7"/>
    </row>
    <row r="908">
      <c r="H908" s="7"/>
      <c r="J908" s="7"/>
      <c r="K908" s="7"/>
    </row>
    <row r="909">
      <c r="H909" s="7"/>
      <c r="J909" s="7"/>
      <c r="K909" s="7"/>
    </row>
    <row r="910">
      <c r="H910" s="7"/>
      <c r="J910" s="7"/>
      <c r="K910" s="7"/>
    </row>
    <row r="911">
      <c r="H911" s="7"/>
      <c r="J911" s="7"/>
      <c r="K911" s="7"/>
    </row>
    <row r="912">
      <c r="H912" s="7"/>
      <c r="J912" s="7"/>
      <c r="K912" s="7"/>
    </row>
    <row r="913">
      <c r="H913" s="7"/>
      <c r="J913" s="7"/>
      <c r="K913" s="7"/>
    </row>
    <row r="914">
      <c r="H914" s="7"/>
      <c r="J914" s="7"/>
      <c r="K914" s="7"/>
    </row>
    <row r="915">
      <c r="H915" s="7"/>
      <c r="J915" s="7"/>
      <c r="K915" s="7"/>
    </row>
    <row r="916">
      <c r="H916" s="7"/>
      <c r="J916" s="7"/>
      <c r="K916" s="7"/>
    </row>
    <row r="917">
      <c r="H917" s="7"/>
      <c r="J917" s="7"/>
      <c r="K917" s="7"/>
    </row>
    <row r="918">
      <c r="H918" s="7"/>
      <c r="J918" s="7"/>
      <c r="K918" s="7"/>
    </row>
    <row r="919">
      <c r="H919" s="7"/>
      <c r="J919" s="7"/>
      <c r="K919" s="7"/>
    </row>
    <row r="920">
      <c r="H920" s="7"/>
      <c r="J920" s="7"/>
      <c r="K920" s="7"/>
    </row>
    <row r="921">
      <c r="H921" s="7"/>
      <c r="J921" s="7"/>
      <c r="K921" s="7"/>
    </row>
    <row r="922">
      <c r="H922" s="7"/>
      <c r="J922" s="7"/>
      <c r="K922" s="7"/>
    </row>
    <row r="923">
      <c r="H923" s="7"/>
      <c r="J923" s="7"/>
      <c r="K923" s="7"/>
    </row>
    <row r="924">
      <c r="H924" s="7"/>
      <c r="J924" s="7"/>
      <c r="K924" s="7"/>
    </row>
    <row r="925">
      <c r="H925" s="7"/>
      <c r="J925" s="7"/>
      <c r="K925" s="7"/>
    </row>
    <row r="926">
      <c r="H926" s="7"/>
      <c r="J926" s="7"/>
      <c r="K926" s="7"/>
    </row>
    <row r="927">
      <c r="H927" s="7"/>
      <c r="J927" s="7"/>
      <c r="K927" s="7"/>
    </row>
    <row r="928">
      <c r="H928" s="7"/>
      <c r="J928" s="7"/>
      <c r="K928" s="7"/>
    </row>
    <row r="929">
      <c r="H929" s="7"/>
      <c r="J929" s="7"/>
      <c r="K929" s="7"/>
    </row>
    <row r="930">
      <c r="H930" s="7"/>
      <c r="J930" s="7"/>
      <c r="K930" s="7"/>
    </row>
    <row r="931">
      <c r="H931" s="7"/>
      <c r="J931" s="7"/>
      <c r="K931" s="7"/>
    </row>
    <row r="932">
      <c r="H932" s="7"/>
      <c r="J932" s="7"/>
      <c r="K932" s="7"/>
    </row>
    <row r="933">
      <c r="H933" s="7"/>
      <c r="J933" s="7"/>
      <c r="K933" s="7"/>
    </row>
    <row r="934">
      <c r="H934" s="7"/>
      <c r="J934" s="7"/>
      <c r="K934" s="7"/>
    </row>
    <row r="935">
      <c r="H935" s="7"/>
      <c r="J935" s="7"/>
      <c r="K935" s="7"/>
    </row>
    <row r="936">
      <c r="H936" s="7"/>
      <c r="J936" s="7"/>
      <c r="K936" s="7"/>
    </row>
    <row r="937">
      <c r="H937" s="7"/>
      <c r="J937" s="7"/>
      <c r="K937" s="7"/>
    </row>
    <row r="938">
      <c r="H938" s="7"/>
      <c r="J938" s="7"/>
      <c r="K938" s="7"/>
    </row>
    <row r="939">
      <c r="H939" s="7"/>
      <c r="J939" s="7"/>
      <c r="K939" s="7"/>
    </row>
    <row r="940">
      <c r="H940" s="7"/>
      <c r="J940" s="7"/>
      <c r="K940" s="7"/>
    </row>
    <row r="941">
      <c r="H941" s="7"/>
      <c r="J941" s="7"/>
      <c r="K941" s="7"/>
    </row>
    <row r="942">
      <c r="H942" s="7"/>
      <c r="J942" s="7"/>
      <c r="K942" s="7"/>
    </row>
    <row r="943">
      <c r="H943" s="7"/>
      <c r="J943" s="7"/>
      <c r="K943" s="7"/>
    </row>
    <row r="944">
      <c r="H944" s="7"/>
      <c r="J944" s="7"/>
      <c r="K944" s="7"/>
    </row>
    <row r="945">
      <c r="H945" s="7"/>
      <c r="J945" s="7"/>
      <c r="K945" s="7"/>
    </row>
    <row r="946">
      <c r="H946" s="7"/>
      <c r="J946" s="7"/>
      <c r="K946" s="7"/>
    </row>
    <row r="947">
      <c r="H947" s="7"/>
      <c r="J947" s="7"/>
      <c r="K947" s="7"/>
    </row>
    <row r="948">
      <c r="H948" s="7"/>
      <c r="J948" s="7"/>
      <c r="K948" s="7"/>
    </row>
    <row r="949">
      <c r="H949" s="7"/>
      <c r="J949" s="7"/>
      <c r="K949" s="7"/>
    </row>
    <row r="950">
      <c r="H950" s="7"/>
      <c r="J950" s="7"/>
      <c r="K950" s="7"/>
    </row>
    <row r="951">
      <c r="H951" s="7"/>
      <c r="J951" s="7"/>
      <c r="K951" s="7"/>
    </row>
    <row r="952">
      <c r="H952" s="7"/>
      <c r="J952" s="7"/>
      <c r="K952" s="7"/>
    </row>
    <row r="953">
      <c r="H953" s="7"/>
      <c r="J953" s="7"/>
      <c r="K953" s="7"/>
    </row>
    <row r="954">
      <c r="H954" s="7"/>
      <c r="J954" s="7"/>
      <c r="K954" s="7"/>
    </row>
    <row r="955">
      <c r="H955" s="7"/>
      <c r="J955" s="7"/>
      <c r="K955" s="7"/>
    </row>
    <row r="956">
      <c r="H956" s="7"/>
      <c r="J956" s="7"/>
      <c r="K956" s="7"/>
    </row>
    <row r="957">
      <c r="H957" s="7"/>
      <c r="J957" s="7"/>
      <c r="K957" s="7"/>
    </row>
    <row r="958">
      <c r="H958" s="7"/>
      <c r="J958" s="7"/>
      <c r="K958" s="7"/>
    </row>
    <row r="959">
      <c r="H959" s="7"/>
      <c r="J959" s="7"/>
      <c r="K959" s="7"/>
    </row>
    <row r="960">
      <c r="H960" s="7"/>
      <c r="J960" s="7"/>
      <c r="K960" s="7"/>
    </row>
    <row r="961">
      <c r="H961" s="7"/>
      <c r="J961" s="7"/>
      <c r="K961" s="7"/>
    </row>
    <row r="962">
      <c r="H962" s="7"/>
      <c r="J962" s="7"/>
      <c r="K962" s="7"/>
    </row>
    <row r="963">
      <c r="H963" s="7"/>
      <c r="J963" s="7"/>
      <c r="K963" s="7"/>
    </row>
    <row r="964">
      <c r="H964" s="7"/>
      <c r="J964" s="7"/>
      <c r="K964" s="7"/>
    </row>
    <row r="965">
      <c r="H965" s="7"/>
      <c r="J965" s="7"/>
      <c r="K965" s="7"/>
    </row>
    <row r="966">
      <c r="H966" s="7"/>
      <c r="J966" s="7"/>
      <c r="K966" s="7"/>
    </row>
    <row r="967">
      <c r="H967" s="7"/>
      <c r="J967" s="7"/>
      <c r="K967" s="7"/>
    </row>
    <row r="968">
      <c r="H968" s="7"/>
      <c r="J968" s="7"/>
      <c r="K968" s="7"/>
    </row>
  </sheetData>
  <customSheetViews>
    <customSheetView guid="{478AB9C3-70DD-43AB-BFA0-32876513ACA9}" filter="1" showAutoFilter="1">
      <autoFilter ref="$A$1:$P$35">
        <sortState ref="A1:P35">
          <sortCondition descending="1" ref="M1:M35"/>
          <sortCondition descending="1" ref="K1:K35"/>
          <sortCondition descending="1" ref="O1:O35"/>
          <sortCondition descending="1" ref="L1:L35"/>
          <sortCondition descending="1" ref="C1:C35"/>
          <sortCondition descending="1" ref="J1:J35"/>
          <sortCondition descending="1" ref="I1:I35"/>
          <sortCondition descending="1" ref="H1:H35"/>
          <sortCondition descending="1" ref="P1:P35"/>
        </sortState>
      </autoFilter>
    </customSheetView>
  </customSheetViews>
  <dataValidations>
    <dataValidation type="list" allowBlank="1" showErrorMessage="1" sqref="A2:A34">
      <formula1>"Jez,Kempy,Nairn,Ben,Bill,Char,Connor,Corin,Crell,Dave,Ewan,Gman,Harry,Jamal,Jan,Jay,Joe,Joel,Jules,Karun,Leo,LG,Luke,Nik,Ram,Steve,Touwa,Will Mac,Will White,OG,Dan,Sean,Sinan,Jacob,Marcus"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.0"/>
    <col customWidth="1" min="8" max="8" width="17.25"/>
  </cols>
  <sheetData>
    <row r="1">
      <c r="A1" s="2" t="s">
        <v>104</v>
      </c>
      <c r="B1" s="2" t="s">
        <v>123</v>
      </c>
      <c r="C1" s="2" t="s">
        <v>124</v>
      </c>
      <c r="D1" s="2" t="s">
        <v>105</v>
      </c>
      <c r="E1" s="2" t="s">
        <v>106</v>
      </c>
      <c r="F1" s="2" t="s">
        <v>107</v>
      </c>
      <c r="G1" s="2" t="s">
        <v>108</v>
      </c>
      <c r="H1" s="6" t="s">
        <v>109</v>
      </c>
      <c r="I1" s="2" t="s">
        <v>110</v>
      </c>
      <c r="J1" s="6" t="s">
        <v>111</v>
      </c>
      <c r="K1" s="6" t="s">
        <v>112</v>
      </c>
      <c r="L1" s="2" t="s">
        <v>114</v>
      </c>
      <c r="M1" s="2" t="s">
        <v>115</v>
      </c>
      <c r="N1" s="2" t="s">
        <v>116</v>
      </c>
      <c r="O1" s="2" t="s">
        <v>125</v>
      </c>
    </row>
    <row r="2">
      <c r="A2" s="1" t="s">
        <v>8</v>
      </c>
      <c r="B2" s="1" t="s">
        <v>9</v>
      </c>
      <c r="C2" s="5">
        <f t="shared" ref="C2:C50" si="1">countJointAppearances(A2, B2)</f>
        <v>20</v>
      </c>
      <c r="D2" s="5">
        <f t="shared" ref="D2:D4" si="2">winsWhenTogether(A2,B2)</f>
        <v>9</v>
      </c>
      <c r="E2" s="5">
        <f t="shared" ref="E2:E50" si="3">drawsWhenTogether(A2,B2)</f>
        <v>1</v>
      </c>
      <c r="F2" s="5">
        <f t="shared" ref="F2:F16" si="4">lossesWhenTogether(A2,B2)</f>
        <v>10</v>
      </c>
      <c r="G2" s="5">
        <f t="shared" ref="G2:G50" si="5">totalGoalsWhenTogether(A2,B2)</f>
        <v>152</v>
      </c>
      <c r="H2" s="7">
        <f t="shared" ref="H2:H50" si="6">G2/C2</f>
        <v>7.6</v>
      </c>
      <c r="I2" s="5">
        <f t="shared" ref="I2:I50" si="7">totalGoalsConcededWhenTogether(A2,B2)</f>
        <v>163</v>
      </c>
      <c r="J2" s="7">
        <f t="shared" ref="J2:J50" si="8">I2/C2</f>
        <v>8.15</v>
      </c>
      <c r="K2" s="7">
        <f t="shared" ref="K2:K50" si="9">H2-J2</f>
        <v>-0.55</v>
      </c>
      <c r="L2" s="8">
        <f t="shared" ref="L2:L50" si="10">D2/C2</f>
        <v>0.45</v>
      </c>
      <c r="M2" s="8">
        <f t="shared" ref="M2:M50" si="11">E2/C2</f>
        <v>0.05</v>
      </c>
      <c r="N2" s="8">
        <f t="shared" ref="N2:N50" si="12">F2/C2</f>
        <v>0.5</v>
      </c>
      <c r="O2" s="9">
        <f t="shared" ref="O2:O50" si="13">L2+M2/2</f>
        <v>0.475</v>
      </c>
    </row>
    <row r="3">
      <c r="A3" s="1" t="s">
        <v>11</v>
      </c>
      <c r="B3" s="1" t="s">
        <v>8</v>
      </c>
      <c r="C3" s="5">
        <f t="shared" si="1"/>
        <v>17</v>
      </c>
      <c r="D3" s="5">
        <f t="shared" si="2"/>
        <v>8</v>
      </c>
      <c r="E3" s="5">
        <f t="shared" si="3"/>
        <v>2</v>
      </c>
      <c r="F3" s="5">
        <f t="shared" si="4"/>
        <v>7</v>
      </c>
      <c r="G3" s="5">
        <f t="shared" si="5"/>
        <v>128</v>
      </c>
      <c r="H3" s="7">
        <f t="shared" si="6"/>
        <v>7.529411765</v>
      </c>
      <c r="I3" s="5">
        <f t="shared" si="7"/>
        <v>155</v>
      </c>
      <c r="J3" s="7">
        <f t="shared" si="8"/>
        <v>9.117647059</v>
      </c>
      <c r="K3" s="7">
        <f t="shared" si="9"/>
        <v>-1.588235294</v>
      </c>
      <c r="L3" s="8">
        <f t="shared" si="10"/>
        <v>0.4705882353</v>
      </c>
      <c r="M3" s="8">
        <f t="shared" si="11"/>
        <v>0.1176470588</v>
      </c>
      <c r="N3" s="8">
        <f t="shared" si="12"/>
        <v>0.4117647059</v>
      </c>
      <c r="O3" s="9">
        <f t="shared" si="13"/>
        <v>0.5294117647</v>
      </c>
    </row>
    <row r="4">
      <c r="A4" s="1" t="s">
        <v>13</v>
      </c>
      <c r="B4" s="1" t="s">
        <v>14</v>
      </c>
      <c r="C4" s="5">
        <f t="shared" si="1"/>
        <v>16</v>
      </c>
      <c r="D4" s="5">
        <f t="shared" si="2"/>
        <v>10</v>
      </c>
      <c r="E4" s="5">
        <f t="shared" si="3"/>
        <v>4</v>
      </c>
      <c r="F4" s="5">
        <f t="shared" si="4"/>
        <v>2</v>
      </c>
      <c r="G4" s="5">
        <f t="shared" si="5"/>
        <v>141</v>
      </c>
      <c r="H4" s="7">
        <f t="shared" si="6"/>
        <v>8.8125</v>
      </c>
      <c r="I4" s="5">
        <f t="shared" si="7"/>
        <v>111</v>
      </c>
      <c r="J4" s="7">
        <f t="shared" si="8"/>
        <v>6.9375</v>
      </c>
      <c r="K4" s="7">
        <f t="shared" si="9"/>
        <v>1.875</v>
      </c>
      <c r="L4" s="8">
        <f t="shared" si="10"/>
        <v>0.625</v>
      </c>
      <c r="M4" s="8">
        <f t="shared" si="11"/>
        <v>0.25</v>
      </c>
      <c r="N4" s="8">
        <f t="shared" si="12"/>
        <v>0.125</v>
      </c>
      <c r="O4" s="9">
        <f t="shared" si="13"/>
        <v>0.75</v>
      </c>
    </row>
    <row r="5">
      <c r="A5" s="1" t="s">
        <v>8</v>
      </c>
      <c r="B5" s="1" t="s">
        <v>15</v>
      </c>
      <c r="C5" s="5">
        <f t="shared" si="1"/>
        <v>16</v>
      </c>
      <c r="D5" s="5">
        <f>countJointAppearances(B5, C5)</f>
        <v>0</v>
      </c>
      <c r="E5" s="5">
        <f t="shared" si="3"/>
        <v>0</v>
      </c>
      <c r="F5" s="5">
        <f t="shared" si="4"/>
        <v>8</v>
      </c>
      <c r="G5" s="5">
        <f t="shared" si="5"/>
        <v>117</v>
      </c>
      <c r="H5" s="7">
        <f t="shared" si="6"/>
        <v>7.3125</v>
      </c>
      <c r="I5" s="5">
        <f t="shared" si="7"/>
        <v>127</v>
      </c>
      <c r="J5" s="7">
        <f t="shared" si="8"/>
        <v>7.9375</v>
      </c>
      <c r="K5" s="7">
        <f t="shared" si="9"/>
        <v>-0.625</v>
      </c>
      <c r="L5" s="8">
        <f t="shared" si="10"/>
        <v>0</v>
      </c>
      <c r="M5" s="8">
        <f t="shared" si="11"/>
        <v>0</v>
      </c>
      <c r="N5" s="8">
        <f t="shared" si="12"/>
        <v>0.5</v>
      </c>
      <c r="O5" s="9">
        <f t="shared" si="13"/>
        <v>0</v>
      </c>
    </row>
    <row r="6">
      <c r="A6" s="1" t="s">
        <v>8</v>
      </c>
      <c r="B6" s="1" t="s">
        <v>16</v>
      </c>
      <c r="C6" s="5">
        <f t="shared" si="1"/>
        <v>16</v>
      </c>
      <c r="D6" s="5">
        <f t="shared" ref="D6:D50" si="14">winsWhenTogether(A6,B6)</f>
        <v>7</v>
      </c>
      <c r="E6" s="5">
        <f t="shared" si="3"/>
        <v>0</v>
      </c>
      <c r="F6" s="5">
        <f t="shared" si="4"/>
        <v>8</v>
      </c>
      <c r="G6" s="5">
        <f t="shared" si="5"/>
        <v>117</v>
      </c>
      <c r="H6" s="7">
        <f t="shared" si="6"/>
        <v>7.3125</v>
      </c>
      <c r="I6" s="5">
        <f t="shared" si="7"/>
        <v>118</v>
      </c>
      <c r="J6" s="7">
        <f t="shared" si="8"/>
        <v>7.375</v>
      </c>
      <c r="K6" s="7">
        <f t="shared" si="9"/>
        <v>-0.0625</v>
      </c>
      <c r="L6" s="8">
        <f t="shared" si="10"/>
        <v>0.4375</v>
      </c>
      <c r="M6" s="8">
        <f t="shared" si="11"/>
        <v>0</v>
      </c>
      <c r="N6" s="8">
        <f t="shared" si="12"/>
        <v>0.5</v>
      </c>
      <c r="O6" s="9">
        <f t="shared" si="13"/>
        <v>0.4375</v>
      </c>
    </row>
    <row r="7">
      <c r="A7" s="1" t="s">
        <v>16</v>
      </c>
      <c r="B7" s="1" t="s">
        <v>15</v>
      </c>
      <c r="C7" s="5">
        <f t="shared" si="1"/>
        <v>14</v>
      </c>
      <c r="D7" s="5">
        <f t="shared" si="14"/>
        <v>4</v>
      </c>
      <c r="E7" s="5">
        <f t="shared" si="3"/>
        <v>0</v>
      </c>
      <c r="F7" s="5">
        <f t="shared" si="4"/>
        <v>9</v>
      </c>
      <c r="G7" s="5">
        <f t="shared" si="5"/>
        <v>100</v>
      </c>
      <c r="H7" s="7">
        <f t="shared" si="6"/>
        <v>7.142857143</v>
      </c>
      <c r="I7" s="5">
        <f t="shared" si="7"/>
        <v>117</v>
      </c>
      <c r="J7" s="7">
        <f t="shared" si="8"/>
        <v>8.357142857</v>
      </c>
      <c r="K7" s="7">
        <f t="shared" si="9"/>
        <v>-1.214285714</v>
      </c>
      <c r="L7" s="8">
        <f t="shared" si="10"/>
        <v>0.2857142857</v>
      </c>
      <c r="M7" s="8">
        <f t="shared" si="11"/>
        <v>0</v>
      </c>
      <c r="N7" s="8">
        <f t="shared" si="12"/>
        <v>0.6428571429</v>
      </c>
      <c r="O7" s="9">
        <f t="shared" si="13"/>
        <v>0.2857142857</v>
      </c>
    </row>
    <row r="8">
      <c r="A8" s="1" t="s">
        <v>8</v>
      </c>
      <c r="B8" s="1" t="s">
        <v>13</v>
      </c>
      <c r="C8" s="5">
        <f t="shared" si="1"/>
        <v>13</v>
      </c>
      <c r="D8" s="5">
        <f t="shared" si="14"/>
        <v>7</v>
      </c>
      <c r="E8" s="5">
        <f t="shared" si="3"/>
        <v>1</v>
      </c>
      <c r="F8" s="5">
        <f t="shared" si="4"/>
        <v>6</v>
      </c>
      <c r="G8" s="5">
        <f t="shared" si="5"/>
        <v>121</v>
      </c>
      <c r="H8" s="7">
        <f t="shared" si="6"/>
        <v>9.307692308</v>
      </c>
      <c r="I8" s="5">
        <f t="shared" si="7"/>
        <v>117</v>
      </c>
      <c r="J8" s="7">
        <f t="shared" si="8"/>
        <v>9</v>
      </c>
      <c r="K8" s="7">
        <f t="shared" si="9"/>
        <v>0.3076923077</v>
      </c>
      <c r="L8" s="8">
        <f t="shared" si="10"/>
        <v>0.5384615385</v>
      </c>
      <c r="M8" s="8">
        <f t="shared" si="11"/>
        <v>0.07692307692</v>
      </c>
      <c r="N8" s="8">
        <f t="shared" si="12"/>
        <v>0.4615384615</v>
      </c>
      <c r="O8" s="9">
        <f t="shared" si="13"/>
        <v>0.5769230769</v>
      </c>
    </row>
    <row r="9">
      <c r="A9" s="1" t="s">
        <v>17</v>
      </c>
      <c r="B9" s="1" t="s">
        <v>14</v>
      </c>
      <c r="C9" s="5">
        <f t="shared" si="1"/>
        <v>13</v>
      </c>
      <c r="D9" s="5">
        <f t="shared" si="14"/>
        <v>8</v>
      </c>
      <c r="E9" s="5">
        <f t="shared" si="3"/>
        <v>2</v>
      </c>
      <c r="F9" s="5">
        <f t="shared" si="4"/>
        <v>3</v>
      </c>
      <c r="G9" s="5">
        <f t="shared" si="5"/>
        <v>110</v>
      </c>
      <c r="H9" s="7">
        <f t="shared" si="6"/>
        <v>8.461538462</v>
      </c>
      <c r="I9" s="5">
        <f t="shared" si="7"/>
        <v>95</v>
      </c>
      <c r="J9" s="7">
        <f t="shared" si="8"/>
        <v>7.307692308</v>
      </c>
      <c r="K9" s="7">
        <f t="shared" si="9"/>
        <v>1.153846154</v>
      </c>
      <c r="L9" s="8">
        <f t="shared" si="10"/>
        <v>0.6153846154</v>
      </c>
      <c r="M9" s="8">
        <f t="shared" si="11"/>
        <v>0.1538461538</v>
      </c>
      <c r="N9" s="8">
        <f t="shared" si="12"/>
        <v>0.2307692308</v>
      </c>
      <c r="O9" s="9">
        <f t="shared" si="13"/>
        <v>0.6923076923</v>
      </c>
    </row>
    <row r="10">
      <c r="A10" s="1" t="s">
        <v>18</v>
      </c>
      <c r="B10" s="1" t="s">
        <v>14</v>
      </c>
      <c r="C10" s="5" t="str">
        <f t="shared" si="1"/>
        <v>#ERROR!</v>
      </c>
      <c r="D10" s="5">
        <f t="shared" si="14"/>
        <v>8</v>
      </c>
      <c r="E10" s="5">
        <f t="shared" si="3"/>
        <v>1</v>
      </c>
      <c r="F10" s="5">
        <f t="shared" si="4"/>
        <v>3</v>
      </c>
      <c r="G10" s="5">
        <f t="shared" si="5"/>
        <v>90</v>
      </c>
      <c r="H10" s="7" t="str">
        <f t="shared" si="6"/>
        <v>#ERROR!</v>
      </c>
      <c r="I10" s="5">
        <f t="shared" si="7"/>
        <v>73</v>
      </c>
      <c r="J10" s="7" t="str">
        <f t="shared" si="8"/>
        <v>#ERROR!</v>
      </c>
      <c r="K10" s="7" t="str">
        <f t="shared" si="9"/>
        <v>#ERROR!</v>
      </c>
      <c r="L10" s="8" t="str">
        <f t="shared" si="10"/>
        <v>#ERROR!</v>
      </c>
      <c r="M10" s="8" t="str">
        <f t="shared" si="11"/>
        <v>#ERROR!</v>
      </c>
      <c r="N10" s="8" t="str">
        <f t="shared" si="12"/>
        <v>#ERROR!</v>
      </c>
      <c r="O10" s="1" t="str">
        <f t="shared" si="13"/>
        <v>#ERROR!</v>
      </c>
    </row>
    <row r="11">
      <c r="A11" s="1" t="s">
        <v>18</v>
      </c>
      <c r="B11" s="1" t="s">
        <v>13</v>
      </c>
      <c r="C11" s="5">
        <f t="shared" si="1"/>
        <v>12</v>
      </c>
      <c r="D11" s="5">
        <f t="shared" si="14"/>
        <v>8</v>
      </c>
      <c r="E11" s="5">
        <f t="shared" si="3"/>
        <v>1</v>
      </c>
      <c r="F11" s="5">
        <f t="shared" si="4"/>
        <v>2</v>
      </c>
      <c r="G11" s="5">
        <f t="shared" si="5"/>
        <v>97</v>
      </c>
      <c r="H11" s="7">
        <f t="shared" si="6"/>
        <v>8.083333333</v>
      </c>
      <c r="I11" s="5">
        <f t="shared" si="7"/>
        <v>70</v>
      </c>
      <c r="J11" s="7">
        <f t="shared" si="8"/>
        <v>5.833333333</v>
      </c>
      <c r="K11" s="7">
        <f t="shared" si="9"/>
        <v>2.25</v>
      </c>
      <c r="L11" s="8">
        <f t="shared" si="10"/>
        <v>0.6666666667</v>
      </c>
      <c r="M11" s="8">
        <f t="shared" si="11"/>
        <v>0.08333333333</v>
      </c>
      <c r="N11" s="8">
        <f t="shared" si="12"/>
        <v>0.1666666667</v>
      </c>
      <c r="O11" s="9">
        <f t="shared" si="13"/>
        <v>0.7083333333</v>
      </c>
    </row>
    <row r="12">
      <c r="A12" s="1" t="s">
        <v>19</v>
      </c>
      <c r="B12" s="1" t="s">
        <v>15</v>
      </c>
      <c r="C12" s="5">
        <f t="shared" si="1"/>
        <v>12</v>
      </c>
      <c r="D12" s="5">
        <f t="shared" si="14"/>
        <v>3</v>
      </c>
      <c r="E12" s="5">
        <f t="shared" si="3"/>
        <v>2</v>
      </c>
      <c r="F12" s="5">
        <f t="shared" si="4"/>
        <v>6</v>
      </c>
      <c r="G12" s="5">
        <f t="shared" si="5"/>
        <v>79</v>
      </c>
      <c r="H12" s="7">
        <f t="shared" si="6"/>
        <v>6.583333333</v>
      </c>
      <c r="I12" s="5">
        <f t="shared" si="7"/>
        <v>87</v>
      </c>
      <c r="J12" s="7">
        <f t="shared" si="8"/>
        <v>7.25</v>
      </c>
      <c r="K12" s="7">
        <f t="shared" si="9"/>
        <v>-0.6666666667</v>
      </c>
      <c r="L12" s="8">
        <f t="shared" si="10"/>
        <v>0.25</v>
      </c>
      <c r="M12" s="8">
        <f t="shared" si="11"/>
        <v>0.1666666667</v>
      </c>
      <c r="N12" s="8">
        <f t="shared" si="12"/>
        <v>0.5</v>
      </c>
      <c r="O12" s="9">
        <f t="shared" si="13"/>
        <v>0.3333333333</v>
      </c>
    </row>
    <row r="13">
      <c r="A13" s="1" t="s">
        <v>15</v>
      </c>
      <c r="B13" s="1" t="s">
        <v>9</v>
      </c>
      <c r="C13" s="5">
        <f t="shared" si="1"/>
        <v>12</v>
      </c>
      <c r="D13" s="5">
        <f t="shared" si="14"/>
        <v>6</v>
      </c>
      <c r="E13" s="5">
        <f t="shared" si="3"/>
        <v>0</v>
      </c>
      <c r="F13" s="5">
        <f t="shared" si="4"/>
        <v>6</v>
      </c>
      <c r="G13" s="5">
        <f t="shared" si="5"/>
        <v>99</v>
      </c>
      <c r="H13" s="7">
        <f t="shared" si="6"/>
        <v>8.25</v>
      </c>
      <c r="I13" s="5">
        <f t="shared" si="7"/>
        <v>97</v>
      </c>
      <c r="J13" s="7">
        <f t="shared" si="8"/>
        <v>8.083333333</v>
      </c>
      <c r="K13" s="7">
        <f t="shared" si="9"/>
        <v>0.1666666667</v>
      </c>
      <c r="L13" s="8">
        <f t="shared" si="10"/>
        <v>0.5</v>
      </c>
      <c r="M13" s="8">
        <f t="shared" si="11"/>
        <v>0</v>
      </c>
      <c r="N13" s="8">
        <f t="shared" si="12"/>
        <v>0.5</v>
      </c>
      <c r="O13" s="9">
        <f t="shared" si="13"/>
        <v>0.5</v>
      </c>
    </row>
    <row r="14">
      <c r="A14" s="1" t="s">
        <v>17</v>
      </c>
      <c r="B14" s="1" t="s">
        <v>8</v>
      </c>
      <c r="C14" s="5">
        <f t="shared" si="1"/>
        <v>12</v>
      </c>
      <c r="D14" s="5">
        <f t="shared" si="14"/>
        <v>4</v>
      </c>
      <c r="E14" s="5">
        <f t="shared" si="3"/>
        <v>0</v>
      </c>
      <c r="F14" s="5">
        <f t="shared" si="4"/>
        <v>8</v>
      </c>
      <c r="G14" s="5">
        <f t="shared" si="5"/>
        <v>93</v>
      </c>
      <c r="H14" s="7">
        <f t="shared" si="6"/>
        <v>7.75</v>
      </c>
      <c r="I14" s="5">
        <f t="shared" si="7"/>
        <v>120</v>
      </c>
      <c r="J14" s="7">
        <f t="shared" si="8"/>
        <v>10</v>
      </c>
      <c r="K14" s="7">
        <f t="shared" si="9"/>
        <v>-2.25</v>
      </c>
      <c r="L14" s="8">
        <f t="shared" si="10"/>
        <v>0.3333333333</v>
      </c>
      <c r="M14" s="8">
        <f t="shared" si="11"/>
        <v>0</v>
      </c>
      <c r="N14" s="8">
        <f t="shared" si="12"/>
        <v>0.6666666667</v>
      </c>
      <c r="O14" s="9">
        <f t="shared" si="13"/>
        <v>0.3333333333</v>
      </c>
    </row>
    <row r="15">
      <c r="A15" s="1" t="s">
        <v>16</v>
      </c>
      <c r="B15" s="1" t="s">
        <v>9</v>
      </c>
      <c r="C15" s="5">
        <f t="shared" si="1"/>
        <v>12</v>
      </c>
      <c r="D15" s="5">
        <f t="shared" si="14"/>
        <v>4</v>
      </c>
      <c r="E15" s="5">
        <f t="shared" si="3"/>
        <v>1</v>
      </c>
      <c r="F15" s="5">
        <f t="shared" si="4"/>
        <v>7</v>
      </c>
      <c r="G15" s="5">
        <f t="shared" si="5"/>
        <v>74</v>
      </c>
      <c r="H15" s="7">
        <f t="shared" si="6"/>
        <v>6.166666667</v>
      </c>
      <c r="I15" s="5">
        <f t="shared" si="7"/>
        <v>82</v>
      </c>
      <c r="J15" s="7">
        <f t="shared" si="8"/>
        <v>6.833333333</v>
      </c>
      <c r="K15" s="7">
        <f t="shared" si="9"/>
        <v>-0.6666666667</v>
      </c>
      <c r="L15" s="8">
        <f t="shared" si="10"/>
        <v>0.3333333333</v>
      </c>
      <c r="M15" s="8">
        <f t="shared" si="11"/>
        <v>0.08333333333</v>
      </c>
      <c r="N15" s="8">
        <f t="shared" si="12"/>
        <v>0.5833333333</v>
      </c>
      <c r="O15" s="9">
        <f t="shared" si="13"/>
        <v>0.375</v>
      </c>
    </row>
    <row r="16">
      <c r="A16" s="1" t="s">
        <v>18</v>
      </c>
      <c r="B16" s="1" t="s">
        <v>9</v>
      </c>
      <c r="C16" s="5">
        <f t="shared" si="1"/>
        <v>12</v>
      </c>
      <c r="D16" s="5">
        <f t="shared" si="14"/>
        <v>5</v>
      </c>
      <c r="E16" s="5">
        <f t="shared" si="3"/>
        <v>1</v>
      </c>
      <c r="F16" s="5">
        <f t="shared" si="4"/>
        <v>5</v>
      </c>
      <c r="G16" s="5">
        <f t="shared" si="5"/>
        <v>79</v>
      </c>
      <c r="H16" s="7">
        <f t="shared" si="6"/>
        <v>6.583333333</v>
      </c>
      <c r="I16" s="5">
        <f t="shared" si="7"/>
        <v>80</v>
      </c>
      <c r="J16" s="7">
        <f t="shared" si="8"/>
        <v>6.666666667</v>
      </c>
      <c r="K16" s="7">
        <f t="shared" si="9"/>
        <v>-0.08333333333</v>
      </c>
      <c r="L16" s="8">
        <f t="shared" si="10"/>
        <v>0.4166666667</v>
      </c>
      <c r="M16" s="8">
        <f t="shared" si="11"/>
        <v>0.08333333333</v>
      </c>
      <c r="N16" s="8">
        <f t="shared" si="12"/>
        <v>0.4166666667</v>
      </c>
      <c r="O16" s="9">
        <f t="shared" si="13"/>
        <v>0.4583333333</v>
      </c>
    </row>
    <row r="17">
      <c r="A17" s="1" t="s">
        <v>18</v>
      </c>
      <c r="B17" s="1" t="s">
        <v>20</v>
      </c>
      <c r="C17" s="5">
        <f t="shared" si="1"/>
        <v>12</v>
      </c>
      <c r="D17" s="5">
        <f t="shared" si="14"/>
        <v>5</v>
      </c>
      <c r="E17" s="5">
        <f t="shared" si="3"/>
        <v>1</v>
      </c>
      <c r="F17" s="1">
        <v>6.0</v>
      </c>
      <c r="G17" s="5">
        <f t="shared" si="5"/>
        <v>94</v>
      </c>
      <c r="H17" s="7">
        <f t="shared" si="6"/>
        <v>7.833333333</v>
      </c>
      <c r="I17" s="5">
        <f t="shared" si="7"/>
        <v>96</v>
      </c>
      <c r="J17" s="7">
        <f t="shared" si="8"/>
        <v>8</v>
      </c>
      <c r="K17" s="7">
        <f t="shared" si="9"/>
        <v>-0.1666666667</v>
      </c>
      <c r="L17" s="8">
        <f t="shared" si="10"/>
        <v>0.4166666667</v>
      </c>
      <c r="M17" s="8">
        <f t="shared" si="11"/>
        <v>0.08333333333</v>
      </c>
      <c r="N17" s="8">
        <f t="shared" si="12"/>
        <v>0.5</v>
      </c>
      <c r="O17" s="9">
        <f t="shared" si="13"/>
        <v>0.4583333333</v>
      </c>
    </row>
    <row r="18">
      <c r="A18" s="1" t="s">
        <v>8</v>
      </c>
      <c r="B18" s="1" t="s">
        <v>14</v>
      </c>
      <c r="C18" s="5">
        <f t="shared" si="1"/>
        <v>12</v>
      </c>
      <c r="D18" s="5">
        <f t="shared" si="14"/>
        <v>8</v>
      </c>
      <c r="E18" s="5">
        <f t="shared" si="3"/>
        <v>1</v>
      </c>
      <c r="F18" s="5">
        <f t="shared" ref="F18:F50" si="15">lossesWhenTogether(A18,B18)</f>
        <v>3</v>
      </c>
      <c r="G18" s="5">
        <f t="shared" si="5"/>
        <v>101</v>
      </c>
      <c r="H18" s="7">
        <f t="shared" si="6"/>
        <v>8.416666667</v>
      </c>
      <c r="I18" s="5">
        <f t="shared" si="7"/>
        <v>90</v>
      </c>
      <c r="J18" s="7">
        <f t="shared" si="8"/>
        <v>7.5</v>
      </c>
      <c r="K18" s="7">
        <f t="shared" si="9"/>
        <v>0.9166666667</v>
      </c>
      <c r="L18" s="8">
        <f t="shared" si="10"/>
        <v>0.6666666667</v>
      </c>
      <c r="M18" s="8">
        <f t="shared" si="11"/>
        <v>0.08333333333</v>
      </c>
      <c r="N18" s="8">
        <f t="shared" si="12"/>
        <v>0.25</v>
      </c>
      <c r="O18" s="9">
        <f t="shared" si="13"/>
        <v>0.7083333333</v>
      </c>
    </row>
    <row r="19">
      <c r="A19" s="1" t="s">
        <v>18</v>
      </c>
      <c r="B19" s="1" t="s">
        <v>16</v>
      </c>
      <c r="C19" s="5">
        <f t="shared" si="1"/>
        <v>12</v>
      </c>
      <c r="D19" s="5">
        <f t="shared" si="14"/>
        <v>9</v>
      </c>
      <c r="E19" s="5">
        <f t="shared" si="3"/>
        <v>0</v>
      </c>
      <c r="F19" s="5">
        <f t="shared" si="15"/>
        <v>3</v>
      </c>
      <c r="G19" s="5">
        <f t="shared" si="5"/>
        <v>111</v>
      </c>
      <c r="H19" s="7">
        <f t="shared" si="6"/>
        <v>9.25</v>
      </c>
      <c r="I19" s="5">
        <f t="shared" si="7"/>
        <v>80</v>
      </c>
      <c r="J19" s="7">
        <f t="shared" si="8"/>
        <v>6.666666667</v>
      </c>
      <c r="K19" s="7">
        <f t="shared" si="9"/>
        <v>2.583333333</v>
      </c>
      <c r="L19" s="8">
        <f t="shared" si="10"/>
        <v>0.75</v>
      </c>
      <c r="M19" s="8">
        <f t="shared" si="11"/>
        <v>0</v>
      </c>
      <c r="N19" s="8">
        <f t="shared" si="12"/>
        <v>0.25</v>
      </c>
      <c r="O19" s="9">
        <f t="shared" si="13"/>
        <v>0.75</v>
      </c>
    </row>
    <row r="20">
      <c r="A20" s="1" t="s">
        <v>13</v>
      </c>
      <c r="B20" s="1" t="s">
        <v>21</v>
      </c>
      <c r="C20" s="5" t="str">
        <f t="shared" si="1"/>
        <v>#ERROR!</v>
      </c>
      <c r="D20" s="5">
        <f t="shared" si="14"/>
        <v>7</v>
      </c>
      <c r="E20" s="5">
        <f t="shared" si="3"/>
        <v>0</v>
      </c>
      <c r="F20" s="5">
        <f t="shared" si="15"/>
        <v>4</v>
      </c>
      <c r="G20" s="5" t="str">
        <f t="shared" si="5"/>
        <v>#ERROR!</v>
      </c>
      <c r="H20" s="7" t="str">
        <f t="shared" si="6"/>
        <v>#ERROR!</v>
      </c>
      <c r="I20" s="5">
        <f t="shared" si="7"/>
        <v>79</v>
      </c>
      <c r="J20" s="7" t="str">
        <f t="shared" si="8"/>
        <v>#ERROR!</v>
      </c>
      <c r="K20" s="7" t="str">
        <f t="shared" si="9"/>
        <v>#ERROR!</v>
      </c>
      <c r="L20" s="8" t="str">
        <f t="shared" si="10"/>
        <v>#ERROR!</v>
      </c>
      <c r="M20" s="8" t="str">
        <f t="shared" si="11"/>
        <v>#ERROR!</v>
      </c>
      <c r="N20" s="8" t="str">
        <f t="shared" si="12"/>
        <v>#ERROR!</v>
      </c>
      <c r="O20" s="1" t="str">
        <f t="shared" si="13"/>
        <v>#ERROR!</v>
      </c>
    </row>
    <row r="21">
      <c r="A21" s="1" t="s">
        <v>8</v>
      </c>
      <c r="B21" s="1" t="s">
        <v>19</v>
      </c>
      <c r="C21" s="5">
        <f t="shared" si="1"/>
        <v>11</v>
      </c>
      <c r="D21" s="5">
        <f t="shared" si="14"/>
        <v>4</v>
      </c>
      <c r="E21" s="5">
        <f t="shared" si="3"/>
        <v>0</v>
      </c>
      <c r="F21" s="5">
        <f t="shared" si="15"/>
        <v>6</v>
      </c>
      <c r="G21" s="5">
        <f t="shared" si="5"/>
        <v>76</v>
      </c>
      <c r="H21" s="7">
        <f t="shared" si="6"/>
        <v>6.909090909</v>
      </c>
      <c r="I21" s="5">
        <f t="shared" si="7"/>
        <v>80</v>
      </c>
      <c r="J21" s="7">
        <f t="shared" si="8"/>
        <v>7.272727273</v>
      </c>
      <c r="K21" s="7">
        <f t="shared" si="9"/>
        <v>-0.3636363636</v>
      </c>
      <c r="L21" s="8">
        <f t="shared" si="10"/>
        <v>0.3636363636</v>
      </c>
      <c r="M21" s="8">
        <f t="shared" si="11"/>
        <v>0</v>
      </c>
      <c r="N21" s="8">
        <f t="shared" si="12"/>
        <v>0.5454545455</v>
      </c>
      <c r="O21" s="9">
        <f t="shared" si="13"/>
        <v>0.3636363636</v>
      </c>
    </row>
    <row r="22">
      <c r="A22" s="1" t="s">
        <v>18</v>
      </c>
      <c r="B22" s="1" t="s">
        <v>8</v>
      </c>
      <c r="C22" s="5">
        <f t="shared" si="1"/>
        <v>11</v>
      </c>
      <c r="D22" s="5">
        <f t="shared" si="14"/>
        <v>6</v>
      </c>
      <c r="E22" s="5">
        <f t="shared" si="3"/>
        <v>1</v>
      </c>
      <c r="F22" s="5">
        <f t="shared" si="15"/>
        <v>4</v>
      </c>
      <c r="G22" s="5">
        <f t="shared" si="5"/>
        <v>76</v>
      </c>
      <c r="H22" s="7">
        <f t="shared" si="6"/>
        <v>6.909090909</v>
      </c>
      <c r="I22" s="5">
        <f t="shared" si="7"/>
        <v>75</v>
      </c>
      <c r="J22" s="7">
        <f t="shared" si="8"/>
        <v>6.818181818</v>
      </c>
      <c r="K22" s="7">
        <f t="shared" si="9"/>
        <v>0.09090909091</v>
      </c>
      <c r="L22" s="8">
        <f t="shared" si="10"/>
        <v>0.5454545455</v>
      </c>
      <c r="M22" s="8">
        <f t="shared" si="11"/>
        <v>0.09090909091</v>
      </c>
      <c r="N22" s="8">
        <f t="shared" si="12"/>
        <v>0.3636363636</v>
      </c>
      <c r="O22" s="9">
        <f t="shared" si="13"/>
        <v>0.5909090909</v>
      </c>
    </row>
    <row r="23">
      <c r="A23" s="1" t="s">
        <v>18</v>
      </c>
      <c r="B23" s="1" t="s">
        <v>15</v>
      </c>
      <c r="C23" s="5">
        <f t="shared" si="1"/>
        <v>11</v>
      </c>
      <c r="D23" s="5">
        <f t="shared" si="14"/>
        <v>4</v>
      </c>
      <c r="E23" s="5">
        <f t="shared" si="3"/>
        <v>1</v>
      </c>
      <c r="F23" s="5">
        <f t="shared" si="15"/>
        <v>6</v>
      </c>
      <c r="G23" s="5">
        <f t="shared" si="5"/>
        <v>86</v>
      </c>
      <c r="H23" s="7">
        <f t="shared" si="6"/>
        <v>7.818181818</v>
      </c>
      <c r="I23" s="5">
        <f t="shared" si="7"/>
        <v>92</v>
      </c>
      <c r="J23" s="7">
        <f t="shared" si="8"/>
        <v>8.363636364</v>
      </c>
      <c r="K23" s="7">
        <f t="shared" si="9"/>
        <v>-0.5454545455</v>
      </c>
      <c r="L23" s="8">
        <f t="shared" si="10"/>
        <v>0.3636363636</v>
      </c>
      <c r="M23" s="8">
        <f t="shared" si="11"/>
        <v>0.09090909091</v>
      </c>
      <c r="N23" s="8">
        <f t="shared" si="12"/>
        <v>0.5454545455</v>
      </c>
      <c r="O23" s="9">
        <f t="shared" si="13"/>
        <v>0.4090909091</v>
      </c>
    </row>
    <row r="24">
      <c r="A24" s="1" t="s">
        <v>11</v>
      </c>
      <c r="B24" s="1" t="s">
        <v>13</v>
      </c>
      <c r="C24" s="5">
        <f t="shared" si="1"/>
        <v>11</v>
      </c>
      <c r="D24" s="5">
        <f t="shared" si="14"/>
        <v>5</v>
      </c>
      <c r="E24" s="5">
        <f t="shared" si="3"/>
        <v>1</v>
      </c>
      <c r="F24" s="5">
        <f t="shared" si="15"/>
        <v>5</v>
      </c>
      <c r="G24" s="5">
        <f t="shared" si="5"/>
        <v>91</v>
      </c>
      <c r="H24" s="7">
        <f t="shared" si="6"/>
        <v>8.272727273</v>
      </c>
      <c r="I24" s="5">
        <f t="shared" si="7"/>
        <v>100</v>
      </c>
      <c r="J24" s="7">
        <f t="shared" si="8"/>
        <v>9.090909091</v>
      </c>
      <c r="K24" s="7">
        <f t="shared" si="9"/>
        <v>-0.8181818182</v>
      </c>
      <c r="L24" s="8">
        <f t="shared" si="10"/>
        <v>0.4545454545</v>
      </c>
      <c r="M24" s="8">
        <f t="shared" si="11"/>
        <v>0.09090909091</v>
      </c>
      <c r="N24" s="8">
        <f t="shared" si="12"/>
        <v>0.4545454545</v>
      </c>
      <c r="O24" s="9">
        <f t="shared" si="13"/>
        <v>0.5</v>
      </c>
    </row>
    <row r="25">
      <c r="A25" s="1" t="s">
        <v>19</v>
      </c>
      <c r="B25" s="1" t="s">
        <v>21</v>
      </c>
      <c r="C25" s="5">
        <f t="shared" si="1"/>
        <v>11</v>
      </c>
      <c r="D25" s="5">
        <f t="shared" si="14"/>
        <v>6</v>
      </c>
      <c r="E25" s="5">
        <f t="shared" si="3"/>
        <v>1</v>
      </c>
      <c r="F25" s="5">
        <f t="shared" si="15"/>
        <v>4</v>
      </c>
      <c r="G25" s="5">
        <f t="shared" si="5"/>
        <v>105</v>
      </c>
      <c r="H25" s="7">
        <f t="shared" si="6"/>
        <v>9.545454545</v>
      </c>
      <c r="I25" s="5">
        <f t="shared" si="7"/>
        <v>88</v>
      </c>
      <c r="J25" s="7">
        <f t="shared" si="8"/>
        <v>8</v>
      </c>
      <c r="K25" s="7">
        <f t="shared" si="9"/>
        <v>1.545454545</v>
      </c>
      <c r="L25" s="8">
        <f t="shared" si="10"/>
        <v>0.5454545455</v>
      </c>
      <c r="M25" s="8">
        <f t="shared" si="11"/>
        <v>0.09090909091</v>
      </c>
      <c r="N25" s="8">
        <f t="shared" si="12"/>
        <v>0.3636363636</v>
      </c>
      <c r="O25" s="9">
        <f t="shared" si="13"/>
        <v>0.5909090909</v>
      </c>
    </row>
    <row r="26">
      <c r="A26" s="1" t="s">
        <v>21</v>
      </c>
      <c r="B26" s="1" t="s">
        <v>14</v>
      </c>
      <c r="C26" s="5">
        <f t="shared" si="1"/>
        <v>10</v>
      </c>
      <c r="D26" s="5">
        <f t="shared" si="14"/>
        <v>7</v>
      </c>
      <c r="E26" s="5">
        <f t="shared" si="3"/>
        <v>0</v>
      </c>
      <c r="F26" s="5">
        <f t="shared" si="15"/>
        <v>3</v>
      </c>
      <c r="G26" s="5">
        <f t="shared" si="5"/>
        <v>83</v>
      </c>
      <c r="H26" s="7">
        <f t="shared" si="6"/>
        <v>8.3</v>
      </c>
      <c r="I26" s="5">
        <f t="shared" si="7"/>
        <v>72</v>
      </c>
      <c r="J26" s="7">
        <f t="shared" si="8"/>
        <v>7.2</v>
      </c>
      <c r="K26" s="7">
        <f t="shared" si="9"/>
        <v>1.1</v>
      </c>
      <c r="L26" s="8">
        <f t="shared" si="10"/>
        <v>0.7</v>
      </c>
      <c r="M26" s="8">
        <f t="shared" si="11"/>
        <v>0</v>
      </c>
      <c r="N26" s="8">
        <f t="shared" si="12"/>
        <v>0.3</v>
      </c>
      <c r="O26" s="9">
        <f t="shared" si="13"/>
        <v>0.7</v>
      </c>
    </row>
    <row r="27">
      <c r="A27" s="1" t="s">
        <v>17</v>
      </c>
      <c r="B27" s="1" t="s">
        <v>15</v>
      </c>
      <c r="C27" s="5">
        <f t="shared" si="1"/>
        <v>10</v>
      </c>
      <c r="D27" s="5">
        <f t="shared" si="14"/>
        <v>5</v>
      </c>
      <c r="E27" s="5">
        <f t="shared" si="3"/>
        <v>1</v>
      </c>
      <c r="F27" s="5">
        <f t="shared" si="15"/>
        <v>4</v>
      </c>
      <c r="G27" s="5">
        <f t="shared" si="5"/>
        <v>94</v>
      </c>
      <c r="H27" s="7">
        <f t="shared" si="6"/>
        <v>9.4</v>
      </c>
      <c r="I27" s="5">
        <f t="shared" si="7"/>
        <v>89</v>
      </c>
      <c r="J27" s="7">
        <f t="shared" si="8"/>
        <v>8.9</v>
      </c>
      <c r="K27" s="7">
        <f t="shared" si="9"/>
        <v>0.5</v>
      </c>
      <c r="L27" s="8">
        <f t="shared" si="10"/>
        <v>0.5</v>
      </c>
      <c r="M27" s="8">
        <f t="shared" si="11"/>
        <v>0.1</v>
      </c>
      <c r="N27" s="8">
        <f t="shared" si="12"/>
        <v>0.4</v>
      </c>
      <c r="O27" s="9">
        <f t="shared" si="13"/>
        <v>0.55</v>
      </c>
    </row>
    <row r="28">
      <c r="A28" s="1" t="s">
        <v>19</v>
      </c>
      <c r="B28" s="1" t="s">
        <v>9</v>
      </c>
      <c r="C28" s="5">
        <f t="shared" si="1"/>
        <v>10</v>
      </c>
      <c r="D28" s="5" t="str">
        <f t="shared" si="14"/>
        <v>#ERROR!</v>
      </c>
      <c r="E28" s="5">
        <f t="shared" si="3"/>
        <v>0</v>
      </c>
      <c r="F28" s="5">
        <f t="shared" si="15"/>
        <v>6</v>
      </c>
      <c r="G28" s="5">
        <f t="shared" si="5"/>
        <v>74</v>
      </c>
      <c r="H28" s="7">
        <f t="shared" si="6"/>
        <v>7.4</v>
      </c>
      <c r="I28" s="5">
        <f t="shared" si="7"/>
        <v>74</v>
      </c>
      <c r="J28" s="7">
        <f t="shared" si="8"/>
        <v>7.4</v>
      </c>
      <c r="K28" s="7">
        <f t="shared" si="9"/>
        <v>0</v>
      </c>
      <c r="L28" s="8" t="str">
        <f t="shared" si="10"/>
        <v>#ERROR!</v>
      </c>
      <c r="M28" s="8">
        <f t="shared" si="11"/>
        <v>0</v>
      </c>
      <c r="N28" s="8">
        <f t="shared" si="12"/>
        <v>0.6</v>
      </c>
      <c r="O28" s="1" t="str">
        <f t="shared" si="13"/>
        <v>#ERROR!</v>
      </c>
    </row>
    <row r="29">
      <c r="A29" s="1" t="s">
        <v>19</v>
      </c>
      <c r="B29" s="1" t="s">
        <v>16</v>
      </c>
      <c r="C29" s="5">
        <f t="shared" si="1"/>
        <v>10</v>
      </c>
      <c r="D29" s="5">
        <f t="shared" si="14"/>
        <v>5</v>
      </c>
      <c r="E29" s="5">
        <f t="shared" si="3"/>
        <v>0</v>
      </c>
      <c r="F29" s="5">
        <f t="shared" si="15"/>
        <v>4</v>
      </c>
      <c r="G29" s="5">
        <f t="shared" si="5"/>
        <v>75</v>
      </c>
      <c r="H29" s="7">
        <f t="shared" si="6"/>
        <v>7.5</v>
      </c>
      <c r="I29" s="5">
        <f t="shared" si="7"/>
        <v>61</v>
      </c>
      <c r="J29" s="7">
        <f t="shared" si="8"/>
        <v>6.1</v>
      </c>
      <c r="K29" s="7">
        <f t="shared" si="9"/>
        <v>1.4</v>
      </c>
      <c r="L29" s="8">
        <f t="shared" si="10"/>
        <v>0.5</v>
      </c>
      <c r="M29" s="8">
        <f t="shared" si="11"/>
        <v>0</v>
      </c>
      <c r="N29" s="8">
        <f t="shared" si="12"/>
        <v>0.4</v>
      </c>
      <c r="O29" s="9">
        <f t="shared" si="13"/>
        <v>0.5</v>
      </c>
    </row>
    <row r="30">
      <c r="A30" s="1" t="s">
        <v>17</v>
      </c>
      <c r="B30" s="1" t="s">
        <v>9</v>
      </c>
      <c r="C30" s="5">
        <f t="shared" si="1"/>
        <v>10</v>
      </c>
      <c r="D30" s="5">
        <f t="shared" si="14"/>
        <v>3</v>
      </c>
      <c r="E30" s="5">
        <f t="shared" si="3"/>
        <v>1</v>
      </c>
      <c r="F30" s="5">
        <f t="shared" si="15"/>
        <v>5</v>
      </c>
      <c r="G30" s="5">
        <f t="shared" si="5"/>
        <v>70</v>
      </c>
      <c r="H30" s="7">
        <f t="shared" si="6"/>
        <v>7</v>
      </c>
      <c r="I30" s="5">
        <f t="shared" si="7"/>
        <v>86</v>
      </c>
      <c r="J30" s="7">
        <f t="shared" si="8"/>
        <v>8.6</v>
      </c>
      <c r="K30" s="7">
        <f t="shared" si="9"/>
        <v>-1.6</v>
      </c>
      <c r="L30" s="8">
        <f t="shared" si="10"/>
        <v>0.3</v>
      </c>
      <c r="M30" s="8">
        <f t="shared" si="11"/>
        <v>0.1</v>
      </c>
      <c r="N30" s="8">
        <f t="shared" si="12"/>
        <v>0.5</v>
      </c>
      <c r="O30" s="9">
        <f t="shared" si="13"/>
        <v>0.35</v>
      </c>
    </row>
    <row r="31">
      <c r="A31" s="1" t="s">
        <v>21</v>
      </c>
      <c r="B31" s="1" t="s">
        <v>20</v>
      </c>
      <c r="C31" s="5">
        <f t="shared" si="1"/>
        <v>10</v>
      </c>
      <c r="D31" s="5">
        <f t="shared" si="14"/>
        <v>4</v>
      </c>
      <c r="E31" s="5">
        <f t="shared" si="3"/>
        <v>1</v>
      </c>
      <c r="F31" s="5">
        <f t="shared" si="15"/>
        <v>5</v>
      </c>
      <c r="G31" s="5">
        <f t="shared" si="5"/>
        <v>81</v>
      </c>
      <c r="H31" s="7">
        <f t="shared" si="6"/>
        <v>8.1</v>
      </c>
      <c r="I31" s="5">
        <f t="shared" si="7"/>
        <v>72</v>
      </c>
      <c r="J31" s="7">
        <f t="shared" si="8"/>
        <v>7.2</v>
      </c>
      <c r="K31" s="7">
        <f t="shared" si="9"/>
        <v>0.9</v>
      </c>
      <c r="L31" s="8">
        <f t="shared" si="10"/>
        <v>0.4</v>
      </c>
      <c r="M31" s="8">
        <f t="shared" si="11"/>
        <v>0.1</v>
      </c>
      <c r="N31" s="8">
        <f t="shared" si="12"/>
        <v>0.5</v>
      </c>
      <c r="O31" s="9">
        <f t="shared" si="13"/>
        <v>0.45</v>
      </c>
    </row>
    <row r="32">
      <c r="A32" s="1" t="s">
        <v>11</v>
      </c>
      <c r="B32" s="1" t="s">
        <v>9</v>
      </c>
      <c r="C32" s="5">
        <f t="shared" si="1"/>
        <v>10</v>
      </c>
      <c r="D32" s="5">
        <f t="shared" si="14"/>
        <v>6</v>
      </c>
      <c r="E32" s="5">
        <f t="shared" si="3"/>
        <v>1</v>
      </c>
      <c r="F32" s="5">
        <f t="shared" si="15"/>
        <v>3</v>
      </c>
      <c r="G32" s="5">
        <f t="shared" si="5"/>
        <v>85</v>
      </c>
      <c r="H32" s="7">
        <f t="shared" si="6"/>
        <v>8.5</v>
      </c>
      <c r="I32" s="5">
        <f t="shared" si="7"/>
        <v>85</v>
      </c>
      <c r="J32" s="7">
        <f t="shared" si="8"/>
        <v>8.5</v>
      </c>
      <c r="K32" s="7">
        <f t="shared" si="9"/>
        <v>0</v>
      </c>
      <c r="L32" s="8">
        <f t="shared" si="10"/>
        <v>0.6</v>
      </c>
      <c r="M32" s="8">
        <f t="shared" si="11"/>
        <v>0.1</v>
      </c>
      <c r="N32" s="8">
        <f t="shared" si="12"/>
        <v>0.3</v>
      </c>
      <c r="O32" s="9">
        <f t="shared" si="13"/>
        <v>0.65</v>
      </c>
    </row>
    <row r="33">
      <c r="A33" s="1" t="s">
        <v>13</v>
      </c>
      <c r="B33" s="1" t="s">
        <v>15</v>
      </c>
      <c r="C33" s="5">
        <f t="shared" si="1"/>
        <v>10</v>
      </c>
      <c r="D33" s="5">
        <f t="shared" si="14"/>
        <v>4</v>
      </c>
      <c r="E33" s="5">
        <f t="shared" si="3"/>
        <v>1</v>
      </c>
      <c r="F33" s="5">
        <f t="shared" si="15"/>
        <v>5</v>
      </c>
      <c r="G33" s="5">
        <f t="shared" si="5"/>
        <v>93</v>
      </c>
      <c r="H33" s="7">
        <f t="shared" si="6"/>
        <v>9.3</v>
      </c>
      <c r="I33" s="5" t="str">
        <f t="shared" si="7"/>
        <v>#ERROR!</v>
      </c>
      <c r="J33" s="7" t="str">
        <f t="shared" si="8"/>
        <v>#ERROR!</v>
      </c>
      <c r="K33" s="7" t="str">
        <f t="shared" si="9"/>
        <v>#ERROR!</v>
      </c>
      <c r="L33" s="8">
        <f t="shared" si="10"/>
        <v>0.4</v>
      </c>
      <c r="M33" s="8">
        <f t="shared" si="11"/>
        <v>0.1</v>
      </c>
      <c r="N33" s="8">
        <f t="shared" si="12"/>
        <v>0.5</v>
      </c>
      <c r="O33" s="9">
        <f t="shared" si="13"/>
        <v>0.45</v>
      </c>
    </row>
    <row r="34">
      <c r="A34" s="1" t="s">
        <v>14</v>
      </c>
      <c r="B34" s="1" t="s">
        <v>16</v>
      </c>
      <c r="C34" s="5">
        <f t="shared" si="1"/>
        <v>10</v>
      </c>
      <c r="D34" s="5">
        <f t="shared" si="14"/>
        <v>6</v>
      </c>
      <c r="E34" s="5">
        <f t="shared" si="3"/>
        <v>1</v>
      </c>
      <c r="F34" s="5">
        <f t="shared" si="15"/>
        <v>3</v>
      </c>
      <c r="G34" s="5">
        <f t="shared" si="5"/>
        <v>93</v>
      </c>
      <c r="H34" s="7">
        <f t="shared" si="6"/>
        <v>9.3</v>
      </c>
      <c r="I34" s="5">
        <f t="shared" si="7"/>
        <v>71</v>
      </c>
      <c r="J34" s="7">
        <f t="shared" si="8"/>
        <v>7.1</v>
      </c>
      <c r="K34" s="7">
        <f t="shared" si="9"/>
        <v>2.2</v>
      </c>
      <c r="L34" s="8">
        <f t="shared" si="10"/>
        <v>0.6</v>
      </c>
      <c r="M34" s="8">
        <f t="shared" si="11"/>
        <v>0.1</v>
      </c>
      <c r="N34" s="8">
        <f t="shared" si="12"/>
        <v>0.3</v>
      </c>
      <c r="O34" s="9">
        <f t="shared" si="13"/>
        <v>0.65</v>
      </c>
    </row>
    <row r="35">
      <c r="A35" s="1" t="s">
        <v>17</v>
      </c>
      <c r="B35" s="1" t="s">
        <v>11</v>
      </c>
      <c r="C35" s="5">
        <f t="shared" si="1"/>
        <v>10</v>
      </c>
      <c r="D35" s="5">
        <f t="shared" si="14"/>
        <v>5</v>
      </c>
      <c r="E35" s="5">
        <f t="shared" si="3"/>
        <v>0</v>
      </c>
      <c r="F35" s="5">
        <f t="shared" si="15"/>
        <v>5</v>
      </c>
      <c r="G35" s="5">
        <f t="shared" si="5"/>
        <v>75</v>
      </c>
      <c r="H35" s="7">
        <f t="shared" si="6"/>
        <v>7.5</v>
      </c>
      <c r="I35" s="5">
        <f t="shared" si="7"/>
        <v>78</v>
      </c>
      <c r="J35" s="7">
        <f t="shared" si="8"/>
        <v>7.8</v>
      </c>
      <c r="K35" s="7">
        <f t="shared" si="9"/>
        <v>-0.3</v>
      </c>
      <c r="L35" s="8">
        <f t="shared" si="10"/>
        <v>0.5</v>
      </c>
      <c r="M35" s="8">
        <f t="shared" si="11"/>
        <v>0</v>
      </c>
      <c r="N35" s="8">
        <f t="shared" si="12"/>
        <v>0.5</v>
      </c>
      <c r="O35" s="9">
        <f t="shared" si="13"/>
        <v>0.5</v>
      </c>
    </row>
    <row r="36">
      <c r="A36" s="1" t="s">
        <v>13</v>
      </c>
      <c r="B36" s="1" t="s">
        <v>16</v>
      </c>
      <c r="C36" s="5">
        <f t="shared" si="1"/>
        <v>10</v>
      </c>
      <c r="D36" s="5">
        <f t="shared" si="14"/>
        <v>5</v>
      </c>
      <c r="E36" s="5">
        <f t="shared" si="3"/>
        <v>1</v>
      </c>
      <c r="F36" s="5">
        <f t="shared" si="15"/>
        <v>4</v>
      </c>
      <c r="G36" s="5">
        <f t="shared" si="5"/>
        <v>89</v>
      </c>
      <c r="H36" s="7">
        <f t="shared" si="6"/>
        <v>8.9</v>
      </c>
      <c r="I36" s="5">
        <f t="shared" si="7"/>
        <v>72</v>
      </c>
      <c r="J36" s="7">
        <f t="shared" si="8"/>
        <v>7.2</v>
      </c>
      <c r="K36" s="7">
        <f t="shared" si="9"/>
        <v>1.7</v>
      </c>
      <c r="L36" s="8">
        <f t="shared" si="10"/>
        <v>0.5</v>
      </c>
      <c r="M36" s="8">
        <f t="shared" si="11"/>
        <v>0.1</v>
      </c>
      <c r="N36" s="8">
        <f t="shared" si="12"/>
        <v>0.4</v>
      </c>
      <c r="O36" s="9">
        <f t="shared" si="13"/>
        <v>0.55</v>
      </c>
    </row>
    <row r="37">
      <c r="A37" s="1" t="s">
        <v>19</v>
      </c>
      <c r="B37" s="1" t="s">
        <v>20</v>
      </c>
      <c r="C37" s="5">
        <f t="shared" si="1"/>
        <v>10</v>
      </c>
      <c r="D37" s="5">
        <f t="shared" si="14"/>
        <v>3</v>
      </c>
      <c r="E37" s="5" t="str">
        <f t="shared" si="3"/>
        <v>#ERROR!</v>
      </c>
      <c r="F37" s="5">
        <f t="shared" si="15"/>
        <v>6</v>
      </c>
      <c r="G37" s="5">
        <f t="shared" si="5"/>
        <v>66</v>
      </c>
      <c r="H37" s="7">
        <f t="shared" si="6"/>
        <v>6.6</v>
      </c>
      <c r="I37" s="5">
        <f t="shared" si="7"/>
        <v>63</v>
      </c>
      <c r="J37" s="7">
        <f t="shared" si="8"/>
        <v>6.3</v>
      </c>
      <c r="K37" s="7">
        <f t="shared" si="9"/>
        <v>0.3</v>
      </c>
      <c r="L37" s="8">
        <f t="shared" si="10"/>
        <v>0.3</v>
      </c>
      <c r="M37" s="8" t="str">
        <f t="shared" si="11"/>
        <v>#ERROR!</v>
      </c>
      <c r="N37" s="8">
        <f t="shared" si="12"/>
        <v>0.6</v>
      </c>
      <c r="O37" s="1" t="str">
        <f t="shared" si="13"/>
        <v>#ERROR!</v>
      </c>
    </row>
    <row r="38">
      <c r="A38" s="1" t="s">
        <v>14</v>
      </c>
      <c r="B38" s="1" t="s">
        <v>20</v>
      </c>
      <c r="C38" s="5">
        <f t="shared" si="1"/>
        <v>10</v>
      </c>
      <c r="D38" s="5">
        <f t="shared" si="14"/>
        <v>5</v>
      </c>
      <c r="E38" s="5">
        <f t="shared" si="3"/>
        <v>1</v>
      </c>
      <c r="F38" s="5">
        <f t="shared" si="15"/>
        <v>4</v>
      </c>
      <c r="G38" s="5">
        <f t="shared" si="5"/>
        <v>82</v>
      </c>
      <c r="H38" s="7">
        <f t="shared" si="6"/>
        <v>8.2</v>
      </c>
      <c r="I38" s="5">
        <f t="shared" si="7"/>
        <v>77</v>
      </c>
      <c r="J38" s="7">
        <f t="shared" si="8"/>
        <v>7.7</v>
      </c>
      <c r="K38" s="7">
        <f t="shared" si="9"/>
        <v>0.5</v>
      </c>
      <c r="L38" s="8">
        <f t="shared" si="10"/>
        <v>0.5</v>
      </c>
      <c r="M38" s="8">
        <f t="shared" si="11"/>
        <v>0.1</v>
      </c>
      <c r="N38" s="8">
        <f t="shared" si="12"/>
        <v>0.4</v>
      </c>
      <c r="O38" s="9">
        <f t="shared" si="13"/>
        <v>0.55</v>
      </c>
    </row>
    <row r="39">
      <c r="A39" s="1" t="s">
        <v>21</v>
      </c>
      <c r="B39" s="1" t="s">
        <v>9</v>
      </c>
      <c r="C39" s="5">
        <f t="shared" si="1"/>
        <v>9</v>
      </c>
      <c r="D39" s="5">
        <f t="shared" si="14"/>
        <v>5</v>
      </c>
      <c r="E39" s="5">
        <f t="shared" si="3"/>
        <v>1</v>
      </c>
      <c r="F39" s="5">
        <f t="shared" si="15"/>
        <v>3</v>
      </c>
      <c r="G39" s="5">
        <f t="shared" si="5"/>
        <v>88</v>
      </c>
      <c r="H39" s="7">
        <f t="shared" si="6"/>
        <v>9.777777778</v>
      </c>
      <c r="I39" s="5">
        <f t="shared" si="7"/>
        <v>71</v>
      </c>
      <c r="J39" s="7">
        <f t="shared" si="8"/>
        <v>7.888888889</v>
      </c>
      <c r="K39" s="7">
        <f t="shared" si="9"/>
        <v>1.888888889</v>
      </c>
      <c r="L39" s="8">
        <f t="shared" si="10"/>
        <v>0.5555555556</v>
      </c>
      <c r="M39" s="8">
        <f t="shared" si="11"/>
        <v>0.1111111111</v>
      </c>
      <c r="N39" s="8">
        <f t="shared" si="12"/>
        <v>0.3333333333</v>
      </c>
      <c r="O39" s="9">
        <f t="shared" si="13"/>
        <v>0.6111111111</v>
      </c>
    </row>
    <row r="40">
      <c r="A40" s="1" t="s">
        <v>20</v>
      </c>
      <c r="B40" s="1" t="s">
        <v>9</v>
      </c>
      <c r="C40" s="5">
        <f t="shared" si="1"/>
        <v>9</v>
      </c>
      <c r="D40" s="5">
        <f t="shared" si="14"/>
        <v>2</v>
      </c>
      <c r="E40" s="5">
        <f t="shared" si="3"/>
        <v>2</v>
      </c>
      <c r="F40" s="5">
        <f t="shared" si="15"/>
        <v>5</v>
      </c>
      <c r="G40" s="5">
        <f t="shared" si="5"/>
        <v>56</v>
      </c>
      <c r="H40" s="7">
        <f t="shared" si="6"/>
        <v>6.222222222</v>
      </c>
      <c r="I40" s="5">
        <f t="shared" si="7"/>
        <v>69</v>
      </c>
      <c r="J40" s="7">
        <f t="shared" si="8"/>
        <v>7.666666667</v>
      </c>
      <c r="K40" s="7">
        <f t="shared" si="9"/>
        <v>-1.444444444</v>
      </c>
      <c r="L40" s="8">
        <f t="shared" si="10"/>
        <v>0.2222222222</v>
      </c>
      <c r="M40" s="8">
        <f t="shared" si="11"/>
        <v>0.2222222222</v>
      </c>
      <c r="N40" s="8">
        <f t="shared" si="12"/>
        <v>0.5555555556</v>
      </c>
      <c r="O40" s="9">
        <f t="shared" si="13"/>
        <v>0.3333333333</v>
      </c>
    </row>
    <row r="41">
      <c r="A41" s="1" t="s">
        <v>18</v>
      </c>
      <c r="B41" s="1" t="s">
        <v>11</v>
      </c>
      <c r="C41" s="5">
        <f t="shared" si="1"/>
        <v>9</v>
      </c>
      <c r="D41" s="5">
        <f t="shared" si="14"/>
        <v>6</v>
      </c>
      <c r="E41" s="5">
        <f t="shared" si="3"/>
        <v>1</v>
      </c>
      <c r="F41" s="5">
        <f t="shared" si="15"/>
        <v>2</v>
      </c>
      <c r="G41" s="5">
        <f t="shared" si="5"/>
        <v>71</v>
      </c>
      <c r="H41" s="7">
        <f t="shared" si="6"/>
        <v>7.888888889</v>
      </c>
      <c r="I41" s="5">
        <f t="shared" si="7"/>
        <v>56</v>
      </c>
      <c r="J41" s="7">
        <f t="shared" si="8"/>
        <v>6.222222222</v>
      </c>
      <c r="K41" s="7">
        <f t="shared" si="9"/>
        <v>1.666666667</v>
      </c>
      <c r="L41" s="8">
        <f t="shared" si="10"/>
        <v>0.6666666667</v>
      </c>
      <c r="M41" s="8">
        <f t="shared" si="11"/>
        <v>0.1111111111</v>
      </c>
      <c r="N41" s="8">
        <f t="shared" si="12"/>
        <v>0.2222222222</v>
      </c>
      <c r="O41" s="9">
        <f t="shared" si="13"/>
        <v>0.7222222222</v>
      </c>
    </row>
    <row r="42">
      <c r="A42" s="1" t="s">
        <v>21</v>
      </c>
      <c r="B42" s="1" t="s">
        <v>16</v>
      </c>
      <c r="C42" s="5">
        <f t="shared" si="1"/>
        <v>9</v>
      </c>
      <c r="D42" s="5">
        <f t="shared" si="14"/>
        <v>3</v>
      </c>
      <c r="E42" s="5">
        <f t="shared" si="3"/>
        <v>0</v>
      </c>
      <c r="F42" s="5">
        <f t="shared" si="15"/>
        <v>6</v>
      </c>
      <c r="G42" s="5">
        <f t="shared" si="5"/>
        <v>68</v>
      </c>
      <c r="H42" s="7">
        <f t="shared" si="6"/>
        <v>7.555555556</v>
      </c>
      <c r="I42" s="5">
        <f t="shared" si="7"/>
        <v>68</v>
      </c>
      <c r="J42" s="7">
        <f t="shared" si="8"/>
        <v>7.555555556</v>
      </c>
      <c r="K42" s="7">
        <f t="shared" si="9"/>
        <v>0</v>
      </c>
      <c r="L42" s="8">
        <f t="shared" si="10"/>
        <v>0.3333333333</v>
      </c>
      <c r="M42" s="8">
        <f t="shared" si="11"/>
        <v>0</v>
      </c>
      <c r="N42" s="8">
        <f t="shared" si="12"/>
        <v>0.6666666667</v>
      </c>
      <c r="O42" s="9">
        <f t="shared" si="13"/>
        <v>0.3333333333</v>
      </c>
    </row>
    <row r="43">
      <c r="A43" s="1" t="s">
        <v>11</v>
      </c>
      <c r="B43" s="1" t="s">
        <v>14</v>
      </c>
      <c r="C43" s="5">
        <f t="shared" si="1"/>
        <v>9</v>
      </c>
      <c r="D43" s="5">
        <f t="shared" si="14"/>
        <v>6</v>
      </c>
      <c r="E43" s="5">
        <f t="shared" si="3"/>
        <v>1</v>
      </c>
      <c r="F43" s="5">
        <f t="shared" si="15"/>
        <v>2</v>
      </c>
      <c r="G43" s="5">
        <f t="shared" si="5"/>
        <v>70</v>
      </c>
      <c r="H43" s="7">
        <f t="shared" si="6"/>
        <v>7.777777778</v>
      </c>
      <c r="I43" s="5">
        <f t="shared" si="7"/>
        <v>56</v>
      </c>
      <c r="J43" s="7">
        <f t="shared" si="8"/>
        <v>6.222222222</v>
      </c>
      <c r="K43" s="7">
        <f t="shared" si="9"/>
        <v>1.555555556</v>
      </c>
      <c r="L43" s="8">
        <f t="shared" si="10"/>
        <v>0.6666666667</v>
      </c>
      <c r="M43" s="8">
        <f t="shared" si="11"/>
        <v>0.1111111111</v>
      </c>
      <c r="N43" s="8">
        <f t="shared" si="12"/>
        <v>0.2222222222</v>
      </c>
      <c r="O43" s="9">
        <f t="shared" si="13"/>
        <v>0.7222222222</v>
      </c>
    </row>
    <row r="44">
      <c r="A44" s="1" t="s">
        <v>20</v>
      </c>
      <c r="B44" s="1" t="s">
        <v>15</v>
      </c>
      <c r="C44" s="5">
        <f t="shared" si="1"/>
        <v>9</v>
      </c>
      <c r="D44" s="5">
        <f t="shared" si="14"/>
        <v>3</v>
      </c>
      <c r="E44" s="5">
        <f t="shared" si="3"/>
        <v>0</v>
      </c>
      <c r="F44" s="5" t="str">
        <f t="shared" si="15"/>
        <v>#ERROR!</v>
      </c>
      <c r="G44" s="5">
        <f t="shared" si="5"/>
        <v>66</v>
      </c>
      <c r="H44" s="7">
        <f t="shared" si="6"/>
        <v>7.333333333</v>
      </c>
      <c r="I44" s="5">
        <f t="shared" si="7"/>
        <v>78</v>
      </c>
      <c r="J44" s="7">
        <f t="shared" si="8"/>
        <v>8.666666667</v>
      </c>
      <c r="K44" s="7">
        <f t="shared" si="9"/>
        <v>-1.333333333</v>
      </c>
      <c r="L44" s="8">
        <f t="shared" si="10"/>
        <v>0.3333333333</v>
      </c>
      <c r="M44" s="8">
        <f t="shared" si="11"/>
        <v>0</v>
      </c>
      <c r="N44" s="8" t="str">
        <f t="shared" si="12"/>
        <v>#ERROR!</v>
      </c>
      <c r="O44" s="9">
        <f t="shared" si="13"/>
        <v>0.3333333333</v>
      </c>
    </row>
    <row r="45">
      <c r="A45" s="1" t="s">
        <v>16</v>
      </c>
      <c r="B45" s="1" t="s">
        <v>24</v>
      </c>
      <c r="C45" s="5">
        <f t="shared" si="1"/>
        <v>9</v>
      </c>
      <c r="D45" s="5">
        <f t="shared" si="14"/>
        <v>3</v>
      </c>
      <c r="E45" s="5">
        <f t="shared" si="3"/>
        <v>0</v>
      </c>
      <c r="F45" s="5">
        <f t="shared" si="15"/>
        <v>5</v>
      </c>
      <c r="G45" s="5">
        <f t="shared" si="5"/>
        <v>58</v>
      </c>
      <c r="H45" s="7">
        <f t="shared" si="6"/>
        <v>6.444444444</v>
      </c>
      <c r="I45" s="5">
        <f t="shared" si="7"/>
        <v>57</v>
      </c>
      <c r="J45" s="7">
        <f t="shared" si="8"/>
        <v>6.333333333</v>
      </c>
      <c r="K45" s="7">
        <f t="shared" si="9"/>
        <v>0.1111111111</v>
      </c>
      <c r="L45" s="8">
        <f t="shared" si="10"/>
        <v>0.3333333333</v>
      </c>
      <c r="M45" s="8">
        <f t="shared" si="11"/>
        <v>0</v>
      </c>
      <c r="N45" s="8">
        <f t="shared" si="12"/>
        <v>0.5555555556</v>
      </c>
      <c r="O45" s="9">
        <f t="shared" si="13"/>
        <v>0.3333333333</v>
      </c>
    </row>
    <row r="46">
      <c r="A46" s="1" t="s">
        <v>16</v>
      </c>
      <c r="B46" s="1" t="s">
        <v>20</v>
      </c>
      <c r="C46" s="5">
        <f t="shared" si="1"/>
        <v>9</v>
      </c>
      <c r="D46" s="5">
        <f t="shared" si="14"/>
        <v>3</v>
      </c>
      <c r="E46" s="5">
        <f t="shared" si="3"/>
        <v>1</v>
      </c>
      <c r="F46" s="5">
        <f t="shared" si="15"/>
        <v>5</v>
      </c>
      <c r="G46" s="5">
        <f t="shared" si="5"/>
        <v>67</v>
      </c>
      <c r="H46" s="7">
        <f t="shared" si="6"/>
        <v>7.444444444</v>
      </c>
      <c r="I46" s="5">
        <f t="shared" si="7"/>
        <v>67</v>
      </c>
      <c r="J46" s="7">
        <f t="shared" si="8"/>
        <v>7.444444444</v>
      </c>
      <c r="K46" s="7">
        <f t="shared" si="9"/>
        <v>0</v>
      </c>
      <c r="L46" s="8">
        <f t="shared" si="10"/>
        <v>0.3333333333</v>
      </c>
      <c r="M46" s="8">
        <f t="shared" si="11"/>
        <v>0.1111111111</v>
      </c>
      <c r="N46" s="8">
        <f t="shared" si="12"/>
        <v>0.5555555556</v>
      </c>
      <c r="O46" s="9">
        <f t="shared" si="13"/>
        <v>0.3888888889</v>
      </c>
    </row>
    <row r="47">
      <c r="A47" s="1" t="s">
        <v>11</v>
      </c>
      <c r="B47" s="1" t="s">
        <v>19</v>
      </c>
      <c r="C47" s="5">
        <f t="shared" si="1"/>
        <v>9</v>
      </c>
      <c r="D47" s="5">
        <f t="shared" si="14"/>
        <v>3</v>
      </c>
      <c r="E47" s="5">
        <f t="shared" si="3"/>
        <v>1</v>
      </c>
      <c r="F47" s="5">
        <f t="shared" si="15"/>
        <v>5</v>
      </c>
      <c r="G47" s="5">
        <f t="shared" si="5"/>
        <v>63</v>
      </c>
      <c r="H47" s="7">
        <f t="shared" si="6"/>
        <v>7</v>
      </c>
      <c r="I47" s="5">
        <f t="shared" si="7"/>
        <v>74</v>
      </c>
      <c r="J47" s="7">
        <f t="shared" si="8"/>
        <v>8.222222222</v>
      </c>
      <c r="K47" s="7">
        <f t="shared" si="9"/>
        <v>-1.222222222</v>
      </c>
      <c r="L47" s="8">
        <f t="shared" si="10"/>
        <v>0.3333333333</v>
      </c>
      <c r="M47" s="8">
        <f t="shared" si="11"/>
        <v>0.1111111111</v>
      </c>
      <c r="N47" s="8">
        <f t="shared" si="12"/>
        <v>0.5555555556</v>
      </c>
      <c r="O47" s="9">
        <f t="shared" si="13"/>
        <v>0.3888888889</v>
      </c>
    </row>
    <row r="48">
      <c r="A48" s="1" t="s">
        <v>17</v>
      </c>
      <c r="B48" s="1" t="s">
        <v>16</v>
      </c>
      <c r="C48" s="5">
        <f t="shared" si="1"/>
        <v>8</v>
      </c>
      <c r="D48" s="5">
        <f t="shared" si="14"/>
        <v>2</v>
      </c>
      <c r="E48" s="5">
        <f t="shared" si="3"/>
        <v>1</v>
      </c>
      <c r="F48" s="5">
        <f t="shared" si="15"/>
        <v>5</v>
      </c>
      <c r="G48" s="5">
        <f t="shared" si="5"/>
        <v>73</v>
      </c>
      <c r="H48" s="7">
        <f t="shared" si="6"/>
        <v>9.125</v>
      </c>
      <c r="I48" s="5">
        <f t="shared" si="7"/>
        <v>72</v>
      </c>
      <c r="J48" s="7">
        <f t="shared" si="8"/>
        <v>9</v>
      </c>
      <c r="K48" s="7">
        <f t="shared" si="9"/>
        <v>0.125</v>
      </c>
      <c r="L48" s="8">
        <f t="shared" si="10"/>
        <v>0.25</v>
      </c>
      <c r="M48" s="8">
        <f t="shared" si="11"/>
        <v>0.125</v>
      </c>
      <c r="N48" s="8">
        <f t="shared" si="12"/>
        <v>0.625</v>
      </c>
      <c r="O48" s="9">
        <f t="shared" si="13"/>
        <v>0.3125</v>
      </c>
    </row>
    <row r="49">
      <c r="A49" s="1" t="s">
        <v>13</v>
      </c>
      <c r="B49" s="1" t="s">
        <v>19</v>
      </c>
      <c r="C49" s="5">
        <f t="shared" si="1"/>
        <v>8</v>
      </c>
      <c r="D49" s="5" t="str">
        <f t="shared" si="14"/>
        <v>#ERROR!</v>
      </c>
      <c r="E49" s="5">
        <f t="shared" si="3"/>
        <v>1</v>
      </c>
      <c r="F49" s="5">
        <f t="shared" si="15"/>
        <v>3</v>
      </c>
      <c r="G49" s="5">
        <f t="shared" si="5"/>
        <v>66</v>
      </c>
      <c r="H49" s="7">
        <f t="shared" si="6"/>
        <v>8.25</v>
      </c>
      <c r="I49" s="5">
        <f t="shared" si="7"/>
        <v>56</v>
      </c>
      <c r="J49" s="7">
        <f t="shared" si="8"/>
        <v>7</v>
      </c>
      <c r="K49" s="7">
        <f t="shared" si="9"/>
        <v>1.25</v>
      </c>
      <c r="L49" s="8" t="str">
        <f t="shared" si="10"/>
        <v>#ERROR!</v>
      </c>
      <c r="M49" s="8">
        <f t="shared" si="11"/>
        <v>0.125</v>
      </c>
      <c r="N49" s="8">
        <f t="shared" si="12"/>
        <v>0.375</v>
      </c>
      <c r="O49" s="1" t="str">
        <f t="shared" si="13"/>
        <v>#ERROR!</v>
      </c>
    </row>
    <row r="50">
      <c r="A50" s="1" t="s">
        <v>13</v>
      </c>
      <c r="B50" s="1" t="s">
        <v>9</v>
      </c>
      <c r="C50" s="5">
        <f t="shared" si="1"/>
        <v>8</v>
      </c>
      <c r="D50" s="5">
        <f t="shared" si="14"/>
        <v>3</v>
      </c>
      <c r="E50" s="5">
        <f t="shared" si="3"/>
        <v>1</v>
      </c>
      <c r="F50" s="5">
        <f t="shared" si="15"/>
        <v>3</v>
      </c>
      <c r="G50" s="5">
        <f t="shared" si="5"/>
        <v>66</v>
      </c>
      <c r="H50" s="7">
        <f t="shared" si="6"/>
        <v>8.25</v>
      </c>
      <c r="I50" s="5">
        <f t="shared" si="7"/>
        <v>60</v>
      </c>
      <c r="J50" s="7">
        <f t="shared" si="8"/>
        <v>7.5</v>
      </c>
      <c r="K50" s="7">
        <f t="shared" si="9"/>
        <v>0.75</v>
      </c>
      <c r="L50" s="8">
        <f t="shared" si="10"/>
        <v>0.375</v>
      </c>
      <c r="M50" s="8">
        <f t="shared" si="11"/>
        <v>0.125</v>
      </c>
      <c r="N50" s="8">
        <f t="shared" si="12"/>
        <v>0.375</v>
      </c>
      <c r="O50" s="9">
        <f t="shared" si="13"/>
        <v>0.4375</v>
      </c>
    </row>
    <row r="51">
      <c r="H51" s="7"/>
      <c r="J51" s="7"/>
      <c r="K51" s="7"/>
      <c r="L51" s="8"/>
      <c r="M51" s="8"/>
      <c r="N51" s="8"/>
    </row>
    <row r="52">
      <c r="H52" s="7"/>
      <c r="J52" s="7"/>
      <c r="K52" s="7"/>
      <c r="L52" s="8"/>
      <c r="M52" s="8"/>
      <c r="N52" s="8"/>
    </row>
    <row r="53">
      <c r="H53" s="7"/>
      <c r="J53" s="7"/>
      <c r="K53" s="7"/>
      <c r="L53" s="8"/>
      <c r="M53" s="8"/>
      <c r="N53" s="8"/>
    </row>
    <row r="54">
      <c r="H54" s="7"/>
      <c r="J54" s="7"/>
      <c r="K54" s="7"/>
      <c r="L54" s="8"/>
      <c r="M54" s="8"/>
      <c r="N54" s="8"/>
    </row>
    <row r="55">
      <c r="H55" s="7"/>
      <c r="J55" s="7"/>
      <c r="K55" s="7"/>
      <c r="L55" s="8"/>
      <c r="M55" s="8"/>
      <c r="N55" s="8"/>
    </row>
    <row r="56">
      <c r="H56" s="7"/>
      <c r="J56" s="7"/>
      <c r="K56" s="7"/>
      <c r="L56" s="8"/>
      <c r="M56" s="8"/>
      <c r="N56" s="8"/>
    </row>
    <row r="57">
      <c r="H57" s="7"/>
      <c r="J57" s="7"/>
      <c r="K57" s="7"/>
      <c r="L57" s="8"/>
      <c r="M57" s="8"/>
      <c r="N57" s="8"/>
    </row>
    <row r="58">
      <c r="H58" s="7"/>
      <c r="J58" s="7"/>
      <c r="K58" s="7"/>
      <c r="L58" s="8"/>
      <c r="M58" s="8"/>
      <c r="N58" s="8"/>
    </row>
    <row r="59">
      <c r="H59" s="7"/>
      <c r="J59" s="7"/>
      <c r="K59" s="7"/>
      <c r="L59" s="8"/>
      <c r="M59" s="8"/>
      <c r="N59" s="8"/>
    </row>
    <row r="60">
      <c r="H60" s="7"/>
      <c r="J60" s="7"/>
      <c r="K60" s="7"/>
      <c r="L60" s="8"/>
      <c r="M60" s="8"/>
      <c r="N60" s="8"/>
    </row>
    <row r="61">
      <c r="H61" s="7"/>
      <c r="I61" s="7"/>
      <c r="J61" s="7"/>
      <c r="L61" s="8"/>
      <c r="M61" s="8"/>
      <c r="N61" s="8"/>
    </row>
    <row r="62">
      <c r="H62" s="7"/>
      <c r="I62" s="7"/>
      <c r="J62" s="7"/>
      <c r="L62" s="8"/>
      <c r="M62" s="8"/>
      <c r="N62" s="8"/>
    </row>
    <row r="63">
      <c r="H63" s="7"/>
      <c r="I63" s="7"/>
      <c r="J63" s="7"/>
      <c r="L63" s="8"/>
      <c r="M63" s="8"/>
      <c r="N63" s="8"/>
    </row>
    <row r="64">
      <c r="H64" s="18"/>
      <c r="J64" s="18"/>
      <c r="K64" s="18"/>
    </row>
    <row r="65">
      <c r="H65" s="7"/>
      <c r="J65" s="7"/>
      <c r="K65" s="7"/>
      <c r="L65" s="8"/>
      <c r="M65" s="8"/>
      <c r="N65" s="8"/>
      <c r="O65" s="9"/>
    </row>
    <row r="66">
      <c r="H66" s="7"/>
      <c r="J66" s="7"/>
      <c r="K66" s="7"/>
      <c r="L66" s="8"/>
      <c r="M66" s="8"/>
      <c r="N66" s="8"/>
      <c r="O66" s="9"/>
    </row>
    <row r="67">
      <c r="H67" s="7"/>
      <c r="J67" s="7"/>
      <c r="K67" s="7"/>
      <c r="L67" s="8"/>
      <c r="M67" s="8"/>
      <c r="N67" s="8"/>
      <c r="O67" s="9"/>
    </row>
    <row r="68">
      <c r="H68" s="7"/>
      <c r="J68" s="7"/>
      <c r="K68" s="7"/>
      <c r="L68" s="8"/>
      <c r="M68" s="8"/>
      <c r="N68" s="8"/>
      <c r="O68" s="9"/>
    </row>
    <row r="69">
      <c r="H69" s="7"/>
      <c r="J69" s="7"/>
      <c r="K69" s="7"/>
      <c r="L69" s="8"/>
      <c r="M69" s="8"/>
      <c r="N69" s="8"/>
      <c r="O69" s="9"/>
    </row>
    <row r="70">
      <c r="H70" s="7"/>
      <c r="J70" s="7"/>
      <c r="K70" s="7"/>
      <c r="L70" s="8"/>
      <c r="M70" s="8"/>
      <c r="N70" s="8"/>
      <c r="O70" s="9"/>
    </row>
    <row r="71">
      <c r="H71" s="7"/>
      <c r="J71" s="7"/>
      <c r="K71" s="7"/>
      <c r="L71" s="8"/>
      <c r="M71" s="8"/>
      <c r="N71" s="8"/>
      <c r="O71" s="9"/>
    </row>
    <row r="72">
      <c r="H72" s="7"/>
      <c r="J72" s="7"/>
      <c r="K72" s="7"/>
      <c r="L72" s="8"/>
      <c r="M72" s="8"/>
      <c r="N72" s="8"/>
      <c r="O72" s="9"/>
    </row>
    <row r="73">
      <c r="H73" s="7"/>
      <c r="J73" s="7"/>
      <c r="K73" s="7"/>
      <c r="L73" s="8"/>
      <c r="M73" s="8"/>
      <c r="N73" s="8"/>
      <c r="O73" s="9"/>
    </row>
    <row r="74">
      <c r="H74" s="7"/>
      <c r="J74" s="7"/>
      <c r="K74" s="7"/>
      <c r="L74" s="8"/>
      <c r="M74" s="8"/>
      <c r="N74" s="8"/>
      <c r="O74" s="9"/>
    </row>
    <row r="75">
      <c r="H75" s="7"/>
      <c r="J75" s="7"/>
      <c r="K75" s="7"/>
      <c r="L75" s="8"/>
      <c r="M75" s="8"/>
      <c r="N75" s="8"/>
      <c r="O75" s="9"/>
    </row>
    <row r="76">
      <c r="H76" s="7"/>
      <c r="J76" s="7"/>
      <c r="K76" s="7"/>
      <c r="L76" s="8"/>
      <c r="M76" s="8"/>
      <c r="N76" s="8"/>
      <c r="O76" s="9"/>
    </row>
    <row r="77">
      <c r="H77" s="7"/>
      <c r="J77" s="7"/>
      <c r="K77" s="7"/>
      <c r="L77" s="8"/>
      <c r="M77" s="8"/>
      <c r="N77" s="8"/>
      <c r="O77" s="9"/>
    </row>
    <row r="78">
      <c r="H78" s="7"/>
      <c r="J78" s="7"/>
      <c r="K78" s="7"/>
      <c r="L78" s="8"/>
      <c r="M78" s="8"/>
      <c r="N78" s="8"/>
      <c r="O78" s="9"/>
    </row>
    <row r="79">
      <c r="H79" s="7"/>
      <c r="J79" s="7"/>
      <c r="K79" s="7"/>
      <c r="L79" s="8"/>
      <c r="M79" s="8"/>
      <c r="N79" s="8"/>
      <c r="O79" s="9"/>
    </row>
    <row r="80">
      <c r="H80" s="7"/>
      <c r="J80" s="7"/>
      <c r="K80" s="7"/>
      <c r="L80" s="8"/>
      <c r="M80" s="8"/>
      <c r="N80" s="8"/>
      <c r="O80" s="9"/>
    </row>
    <row r="81">
      <c r="H81" s="7"/>
      <c r="J81" s="7"/>
      <c r="K81" s="7"/>
      <c r="L81" s="8"/>
      <c r="M81" s="8"/>
      <c r="N81" s="8"/>
      <c r="O81" s="9"/>
    </row>
    <row r="82">
      <c r="H82" s="7"/>
      <c r="J82" s="7"/>
      <c r="K82" s="7"/>
      <c r="L82" s="8"/>
      <c r="M82" s="8"/>
      <c r="N82" s="8"/>
      <c r="O82" s="9"/>
    </row>
    <row r="83">
      <c r="H83" s="7"/>
      <c r="J83" s="7"/>
      <c r="K83" s="7"/>
      <c r="L83" s="8"/>
      <c r="M83" s="8"/>
      <c r="N83" s="8"/>
      <c r="O83" s="9"/>
    </row>
    <row r="84">
      <c r="H84" s="7"/>
      <c r="J84" s="7"/>
      <c r="K84" s="7"/>
      <c r="L84" s="8"/>
      <c r="M84" s="8"/>
      <c r="N84" s="8"/>
      <c r="O84" s="9"/>
    </row>
    <row r="85">
      <c r="H85" s="7"/>
      <c r="J85" s="7"/>
      <c r="K85" s="7"/>
      <c r="L85" s="8"/>
      <c r="M85" s="8"/>
      <c r="N85" s="8"/>
      <c r="O85" s="9"/>
    </row>
    <row r="86">
      <c r="H86" s="7"/>
      <c r="J86" s="7"/>
      <c r="K86" s="7"/>
      <c r="L86" s="8"/>
      <c r="M86" s="8"/>
      <c r="N86" s="8"/>
      <c r="O86" s="9"/>
    </row>
    <row r="87">
      <c r="H87" s="7"/>
      <c r="J87" s="7"/>
      <c r="K87" s="7"/>
      <c r="L87" s="8"/>
      <c r="M87" s="8"/>
      <c r="N87" s="8"/>
      <c r="O87" s="9"/>
    </row>
    <row r="88">
      <c r="H88" s="7"/>
      <c r="J88" s="7"/>
      <c r="K88" s="7"/>
      <c r="L88" s="8"/>
      <c r="M88" s="8"/>
      <c r="N88" s="8"/>
      <c r="O88" s="9"/>
    </row>
    <row r="89">
      <c r="H89" s="7"/>
      <c r="J89" s="7"/>
      <c r="K89" s="7"/>
      <c r="L89" s="8"/>
      <c r="M89" s="8"/>
      <c r="N89" s="8"/>
      <c r="O89" s="9"/>
    </row>
    <row r="90">
      <c r="H90" s="7"/>
      <c r="J90" s="7"/>
      <c r="K90" s="7"/>
      <c r="L90" s="8"/>
      <c r="M90" s="8"/>
      <c r="N90" s="8"/>
      <c r="O90" s="9"/>
    </row>
    <row r="91">
      <c r="H91" s="7"/>
      <c r="J91" s="7"/>
      <c r="K91" s="7"/>
      <c r="L91" s="8"/>
      <c r="M91" s="8"/>
      <c r="N91" s="8"/>
      <c r="O91" s="9"/>
    </row>
    <row r="92">
      <c r="H92" s="7"/>
      <c r="J92" s="7"/>
      <c r="K92" s="7"/>
      <c r="L92" s="8"/>
      <c r="M92" s="8"/>
      <c r="N92" s="8"/>
      <c r="O92" s="9"/>
    </row>
    <row r="93">
      <c r="H93" s="7"/>
      <c r="J93" s="7"/>
      <c r="K93" s="7"/>
      <c r="L93" s="8"/>
      <c r="M93" s="8"/>
      <c r="N93" s="8"/>
      <c r="O93" s="9"/>
    </row>
    <row r="94">
      <c r="H94" s="7"/>
      <c r="J94" s="7"/>
      <c r="K94" s="7"/>
      <c r="L94" s="8"/>
      <c r="M94" s="8"/>
      <c r="N94" s="8"/>
      <c r="O94" s="9"/>
    </row>
    <row r="95">
      <c r="H95" s="7"/>
      <c r="J95" s="7"/>
      <c r="K95" s="7"/>
      <c r="L95" s="8"/>
      <c r="M95" s="8"/>
      <c r="N95" s="8"/>
      <c r="O95" s="9"/>
    </row>
    <row r="96">
      <c r="H96" s="7"/>
      <c r="J96" s="7"/>
      <c r="K96" s="7"/>
      <c r="L96" s="8"/>
      <c r="M96" s="8"/>
      <c r="N96" s="8"/>
      <c r="O96" s="9"/>
    </row>
    <row r="97">
      <c r="H97" s="7"/>
      <c r="J97" s="7"/>
      <c r="K97" s="7"/>
      <c r="L97" s="8"/>
      <c r="M97" s="8"/>
      <c r="N97" s="8"/>
      <c r="O97" s="9"/>
    </row>
    <row r="98">
      <c r="H98" s="7"/>
      <c r="J98" s="7"/>
      <c r="K98" s="7"/>
      <c r="L98" s="8"/>
      <c r="M98" s="8"/>
      <c r="N98" s="8"/>
      <c r="O98" s="9"/>
    </row>
    <row r="99">
      <c r="H99" s="7"/>
      <c r="J99" s="7"/>
      <c r="K99" s="7"/>
      <c r="L99" s="8"/>
      <c r="M99" s="8"/>
      <c r="N99" s="8"/>
      <c r="O99" s="9"/>
    </row>
    <row r="100">
      <c r="H100" s="7"/>
      <c r="J100" s="7"/>
      <c r="K100" s="7"/>
      <c r="L100" s="8"/>
      <c r="M100" s="8"/>
      <c r="N100" s="8"/>
      <c r="O100" s="9"/>
    </row>
    <row r="101">
      <c r="H101" s="7"/>
      <c r="J101" s="7"/>
      <c r="K101" s="7"/>
      <c r="L101" s="8"/>
      <c r="M101" s="8"/>
      <c r="N101" s="8"/>
      <c r="O101" s="9"/>
    </row>
    <row r="102">
      <c r="H102" s="7"/>
      <c r="J102" s="7"/>
      <c r="K102" s="7"/>
      <c r="L102" s="8"/>
      <c r="M102" s="8"/>
      <c r="N102" s="8"/>
      <c r="O102" s="9"/>
    </row>
    <row r="103">
      <c r="H103" s="7"/>
      <c r="J103" s="7"/>
      <c r="K103" s="7"/>
      <c r="L103" s="8"/>
      <c r="M103" s="8"/>
      <c r="N103" s="8"/>
      <c r="O103" s="9"/>
    </row>
    <row r="104">
      <c r="H104" s="7"/>
      <c r="J104" s="7"/>
      <c r="K104" s="7"/>
      <c r="L104" s="8"/>
      <c r="M104" s="8"/>
      <c r="N104" s="8"/>
      <c r="O104" s="9"/>
    </row>
    <row r="105">
      <c r="H105" s="7"/>
      <c r="J105" s="7"/>
      <c r="K105" s="7"/>
      <c r="L105" s="8"/>
      <c r="M105" s="8"/>
      <c r="N105" s="8"/>
      <c r="O105" s="9"/>
    </row>
    <row r="106">
      <c r="H106" s="7"/>
      <c r="J106" s="7"/>
      <c r="K106" s="7"/>
      <c r="L106" s="8"/>
      <c r="M106" s="8"/>
      <c r="N106" s="8"/>
      <c r="O106" s="9"/>
    </row>
    <row r="107">
      <c r="H107" s="7"/>
      <c r="J107" s="7"/>
      <c r="K107" s="7"/>
      <c r="L107" s="8"/>
      <c r="M107" s="8"/>
      <c r="N107" s="8"/>
      <c r="O107" s="9"/>
    </row>
    <row r="108">
      <c r="H108" s="7"/>
      <c r="J108" s="7"/>
      <c r="K108" s="7"/>
      <c r="L108" s="8"/>
      <c r="M108" s="8"/>
      <c r="N108" s="8"/>
      <c r="O108" s="9"/>
    </row>
    <row r="109">
      <c r="H109" s="7"/>
      <c r="J109" s="7"/>
      <c r="K109" s="7"/>
      <c r="L109" s="8"/>
      <c r="M109" s="8"/>
      <c r="N109" s="8"/>
      <c r="O109" s="9"/>
    </row>
    <row r="110">
      <c r="H110" s="7"/>
      <c r="J110" s="7"/>
      <c r="K110" s="7"/>
      <c r="L110" s="8"/>
      <c r="M110" s="8"/>
      <c r="N110" s="8"/>
      <c r="O110" s="9"/>
    </row>
    <row r="111">
      <c r="H111" s="7"/>
      <c r="J111" s="7"/>
      <c r="K111" s="7"/>
      <c r="L111" s="8"/>
      <c r="M111" s="8"/>
      <c r="N111" s="8"/>
      <c r="O111" s="9"/>
    </row>
    <row r="112">
      <c r="H112" s="7"/>
      <c r="J112" s="7"/>
      <c r="K112" s="7"/>
      <c r="L112" s="8"/>
      <c r="M112" s="8"/>
      <c r="N112" s="8"/>
      <c r="O112" s="9"/>
    </row>
    <row r="113">
      <c r="H113" s="7"/>
      <c r="J113" s="7"/>
      <c r="K113" s="7"/>
      <c r="L113" s="8"/>
      <c r="M113" s="8"/>
      <c r="N113" s="8"/>
      <c r="O113" s="9"/>
    </row>
    <row r="114">
      <c r="H114" s="7"/>
      <c r="J114" s="7"/>
      <c r="K114" s="7"/>
      <c r="L114" s="8"/>
      <c r="M114" s="8"/>
      <c r="N114" s="8"/>
      <c r="O114" s="9"/>
    </row>
    <row r="115">
      <c r="H115" s="7"/>
      <c r="J115" s="7"/>
      <c r="K115" s="7"/>
      <c r="L115" s="8"/>
      <c r="M115" s="8"/>
      <c r="N115" s="8"/>
      <c r="O115" s="9"/>
    </row>
    <row r="116">
      <c r="H116" s="7"/>
      <c r="J116" s="7"/>
      <c r="K116" s="7"/>
      <c r="L116" s="8"/>
      <c r="M116" s="8"/>
      <c r="N116" s="8"/>
      <c r="O116" s="9"/>
    </row>
    <row r="117">
      <c r="H117" s="7"/>
      <c r="J117" s="7"/>
      <c r="K117" s="7"/>
      <c r="L117" s="8"/>
      <c r="M117" s="8"/>
      <c r="N117" s="8"/>
      <c r="O117" s="9"/>
    </row>
    <row r="118">
      <c r="H118" s="7"/>
      <c r="J118" s="7"/>
      <c r="K118" s="7"/>
      <c r="L118" s="8"/>
      <c r="M118" s="8"/>
      <c r="N118" s="8"/>
      <c r="O118" s="9"/>
    </row>
    <row r="119">
      <c r="H119" s="7"/>
      <c r="J119" s="7"/>
      <c r="K119" s="7"/>
      <c r="L119" s="8"/>
      <c r="M119" s="8"/>
      <c r="N119" s="8"/>
      <c r="O119" s="9"/>
    </row>
    <row r="120">
      <c r="H120" s="7"/>
      <c r="J120" s="7"/>
      <c r="K120" s="7"/>
      <c r="L120" s="8"/>
      <c r="M120" s="8"/>
      <c r="N120" s="8"/>
      <c r="O120" s="9"/>
    </row>
    <row r="121">
      <c r="H121" s="7"/>
      <c r="J121" s="7"/>
      <c r="K121" s="7"/>
      <c r="L121" s="8"/>
      <c r="M121" s="8"/>
      <c r="N121" s="8"/>
      <c r="O121" s="9"/>
    </row>
    <row r="122">
      <c r="H122" s="7"/>
      <c r="J122" s="7"/>
      <c r="K122" s="7"/>
      <c r="L122" s="8"/>
      <c r="M122" s="8"/>
      <c r="N122" s="8"/>
      <c r="O122" s="9"/>
    </row>
    <row r="123">
      <c r="H123" s="7"/>
      <c r="J123" s="7"/>
      <c r="K123" s="7"/>
      <c r="L123" s="8"/>
      <c r="M123" s="8"/>
      <c r="N123" s="8"/>
      <c r="O123" s="9"/>
    </row>
    <row r="124">
      <c r="H124" s="7"/>
      <c r="J124" s="7"/>
      <c r="K124" s="7"/>
      <c r="L124" s="8"/>
      <c r="M124" s="8"/>
      <c r="N124" s="8"/>
      <c r="O124" s="9"/>
    </row>
    <row r="125">
      <c r="H125" s="7"/>
      <c r="J125" s="7"/>
      <c r="K125" s="7"/>
      <c r="L125" s="8"/>
      <c r="M125" s="8"/>
      <c r="N125" s="8"/>
      <c r="O125" s="9"/>
    </row>
    <row r="126">
      <c r="H126" s="7"/>
      <c r="J126" s="7"/>
      <c r="K126" s="7"/>
      <c r="L126" s="8"/>
      <c r="M126" s="8"/>
      <c r="N126" s="8"/>
      <c r="O126" s="9"/>
    </row>
    <row r="127">
      <c r="H127" s="7"/>
      <c r="J127" s="7"/>
      <c r="K127" s="7"/>
      <c r="L127" s="8"/>
      <c r="M127" s="8"/>
      <c r="N127" s="8"/>
      <c r="O127" s="9"/>
    </row>
    <row r="128">
      <c r="H128" s="7"/>
      <c r="J128" s="7"/>
      <c r="K128" s="7"/>
      <c r="L128" s="8"/>
      <c r="M128" s="8"/>
      <c r="N128" s="8"/>
      <c r="O128" s="9"/>
    </row>
    <row r="129">
      <c r="H129" s="7"/>
      <c r="J129" s="7"/>
      <c r="K129" s="7"/>
      <c r="L129" s="8"/>
      <c r="M129" s="8"/>
      <c r="N129" s="8"/>
      <c r="O129" s="9"/>
    </row>
    <row r="130">
      <c r="H130" s="7"/>
      <c r="J130" s="7"/>
      <c r="K130" s="7"/>
      <c r="L130" s="8"/>
      <c r="M130" s="8"/>
      <c r="N130" s="8"/>
      <c r="O130" s="9"/>
    </row>
    <row r="131">
      <c r="H131" s="7"/>
      <c r="J131" s="7"/>
      <c r="K131" s="7"/>
      <c r="L131" s="8"/>
      <c r="M131" s="8"/>
      <c r="N131" s="8"/>
      <c r="O131" s="9"/>
    </row>
    <row r="132">
      <c r="H132" s="7"/>
      <c r="J132" s="7"/>
      <c r="K132" s="7"/>
      <c r="L132" s="8"/>
      <c r="M132" s="8"/>
      <c r="N132" s="8"/>
      <c r="O132" s="9"/>
    </row>
    <row r="133">
      <c r="H133" s="7"/>
      <c r="J133" s="7"/>
      <c r="K133" s="7"/>
      <c r="L133" s="8"/>
      <c r="M133" s="8"/>
      <c r="N133" s="8"/>
      <c r="O133" s="9"/>
    </row>
  </sheetData>
  <customSheetViews>
    <customSheetView guid="{AE554850-A023-4A01-82BE-E8B7F6B1AE35}" filter="1" showAutoFilter="1">
      <autoFilter ref="$A$1:$N$60">
        <sortState ref="A1:N60">
          <sortCondition descending="1" ref="K1:K60"/>
          <sortCondition descending="1" ref="L1:L60"/>
        </sortState>
      </autoFilter>
    </customSheetView>
    <customSheetView guid="{174C0D00-0A05-4BD7-898F-808FD8738C09}" filter="1" showAutoFilter="1">
      <autoFilter ref="$A$1:$N$133">
        <sortState ref="A1:N133">
          <sortCondition descending="1" ref="L1:L133"/>
          <sortCondition descending="1" ref="K1:K133"/>
        </sortState>
      </autoFilter>
    </customSheetView>
  </customSheetView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9" max="9" width="12.63"/>
  </cols>
  <sheetData>
    <row r="1">
      <c r="A1" s="1" t="s">
        <v>0</v>
      </c>
      <c r="B1" s="1" t="s">
        <v>2</v>
      </c>
      <c r="C1" s="1" t="s">
        <v>5</v>
      </c>
      <c r="D1" s="2" t="s">
        <v>126</v>
      </c>
      <c r="E1" s="2" t="s">
        <v>106</v>
      </c>
      <c r="F1" s="2" t="s">
        <v>127</v>
      </c>
      <c r="G1" s="6" t="s">
        <v>108</v>
      </c>
      <c r="H1" s="6" t="s">
        <v>109</v>
      </c>
      <c r="I1" s="2" t="s">
        <v>110</v>
      </c>
      <c r="J1" s="6" t="s">
        <v>111</v>
      </c>
      <c r="K1" s="6" t="s">
        <v>128</v>
      </c>
      <c r="L1" s="2" t="s">
        <v>129</v>
      </c>
      <c r="M1" s="2" t="s">
        <v>130</v>
      </c>
      <c r="N1" s="2" t="s">
        <v>131</v>
      </c>
    </row>
    <row r="2">
      <c r="A2" s="1" t="s">
        <v>14</v>
      </c>
      <c r="B2" s="1" t="s">
        <v>9</v>
      </c>
      <c r="C2" s="3">
        <f t="shared" ref="C2:C61" si="1">countOpposingTeamAppearances(A2, B2)</f>
        <v>20</v>
      </c>
      <c r="D2" s="5">
        <f t="shared" ref="D2:D61" si="2">winsForPlayer1WhenOpposed(A2, B2)</f>
        <v>12</v>
      </c>
      <c r="E2" s="5">
        <f t="shared" ref="E2:E61" si="3">drawsWhenOpposing(A2, B2)</f>
        <v>1</v>
      </c>
      <c r="F2" s="5">
        <f t="shared" ref="F2:F61" si="4">lossesWhenOpposing(A2, B2)
</f>
        <v>7</v>
      </c>
      <c r="G2" s="5">
        <f t="shared" ref="G2:G61" si="5">sumPlayerTeamGoalsWhenOpposed(A2, B2)</f>
        <v>161</v>
      </c>
      <c r="H2" s="5">
        <f t="shared" ref="H2:H61" si="6">G2/C2</f>
        <v>8.05</v>
      </c>
      <c r="I2" s="5">
        <f t="shared" ref="I2:I61" si="7">totalGoalsConcededWhenOpposed(A2,B2)</f>
        <v>145</v>
      </c>
      <c r="J2" s="5">
        <f t="shared" ref="J2:J61" si="8">I2/C2</f>
        <v>7.25</v>
      </c>
      <c r="K2" s="5">
        <f t="shared" ref="K2:K61" si="9">H2-J2</f>
        <v>0.8</v>
      </c>
      <c r="L2" s="8">
        <f t="shared" ref="L2:L61" si="10">D2/C2</f>
        <v>0.6</v>
      </c>
      <c r="M2" s="8">
        <f t="shared" ref="M2:M61" si="11">E2/C2</f>
        <v>0.05</v>
      </c>
      <c r="N2" s="8">
        <f t="shared" ref="N2:N61" si="12">F2/C2</f>
        <v>0.35</v>
      </c>
    </row>
    <row r="3">
      <c r="A3" s="1" t="s">
        <v>14</v>
      </c>
      <c r="B3" s="1" t="s">
        <v>15</v>
      </c>
      <c r="C3" s="3">
        <f t="shared" si="1"/>
        <v>17</v>
      </c>
      <c r="D3" s="5">
        <f t="shared" si="2"/>
        <v>11</v>
      </c>
      <c r="E3" s="5">
        <f t="shared" si="3"/>
        <v>2</v>
      </c>
      <c r="F3" s="5">
        <f t="shared" si="4"/>
        <v>4</v>
      </c>
      <c r="G3" s="5">
        <f t="shared" si="5"/>
        <v>150</v>
      </c>
      <c r="H3" s="5">
        <f t="shared" si="6"/>
        <v>8.823529412</v>
      </c>
      <c r="I3" s="5">
        <f t="shared" si="7"/>
        <v>122</v>
      </c>
      <c r="J3" s="5">
        <f t="shared" si="8"/>
        <v>7.176470588</v>
      </c>
      <c r="K3" s="5">
        <f t="shared" si="9"/>
        <v>1.647058824</v>
      </c>
      <c r="L3" s="8">
        <f t="shared" si="10"/>
        <v>0.6470588235</v>
      </c>
      <c r="M3" s="8">
        <f t="shared" si="11"/>
        <v>0.1176470588</v>
      </c>
      <c r="N3" s="8">
        <f t="shared" si="12"/>
        <v>0.2352941176</v>
      </c>
    </row>
    <row r="4">
      <c r="A4" s="1" t="s">
        <v>18</v>
      </c>
      <c r="B4" s="1" t="s">
        <v>19</v>
      </c>
      <c r="C4" s="3">
        <f t="shared" si="1"/>
        <v>17</v>
      </c>
      <c r="D4" s="5">
        <f t="shared" si="2"/>
        <v>12</v>
      </c>
      <c r="E4" s="5">
        <f t="shared" si="3"/>
        <v>2</v>
      </c>
      <c r="F4" s="5">
        <f t="shared" si="4"/>
        <v>2</v>
      </c>
      <c r="G4" s="5">
        <f t="shared" si="5"/>
        <v>134</v>
      </c>
      <c r="H4" s="5">
        <f t="shared" si="6"/>
        <v>7.882352941</v>
      </c>
      <c r="I4" s="5" t="str">
        <f t="shared" si="7"/>
        <v>5451163647</v>
      </c>
      <c r="J4" s="5">
        <f t="shared" si="8"/>
        <v>320656685.1</v>
      </c>
      <c r="K4" s="5">
        <f t="shared" si="9"/>
        <v>-320656677.2</v>
      </c>
      <c r="L4" s="8">
        <f t="shared" si="10"/>
        <v>0.7058823529</v>
      </c>
      <c r="M4" s="8">
        <f t="shared" si="11"/>
        <v>0.1176470588</v>
      </c>
      <c r="N4" s="8">
        <f t="shared" si="12"/>
        <v>0.1176470588</v>
      </c>
    </row>
    <row r="5">
      <c r="A5" s="1" t="s">
        <v>11</v>
      </c>
      <c r="B5" s="1" t="s">
        <v>15</v>
      </c>
      <c r="C5" s="3">
        <f t="shared" si="1"/>
        <v>17</v>
      </c>
      <c r="D5" s="5">
        <f t="shared" si="2"/>
        <v>9</v>
      </c>
      <c r="E5" s="5">
        <f t="shared" si="3"/>
        <v>2</v>
      </c>
      <c r="F5" s="5" t="str">
        <f t="shared" si="4"/>
        <v>#ERROR!</v>
      </c>
      <c r="G5" s="5">
        <f t="shared" si="5"/>
        <v>147</v>
      </c>
      <c r="H5" s="5">
        <f t="shared" si="6"/>
        <v>8.647058824</v>
      </c>
      <c r="I5" s="5">
        <f t="shared" si="7"/>
        <v>143</v>
      </c>
      <c r="J5" s="5">
        <f t="shared" si="8"/>
        <v>8.411764706</v>
      </c>
      <c r="K5" s="5">
        <f t="shared" si="9"/>
        <v>0.2352941176</v>
      </c>
      <c r="L5" s="8">
        <f t="shared" si="10"/>
        <v>0.5294117647</v>
      </c>
      <c r="M5" s="8">
        <f t="shared" si="11"/>
        <v>0.1176470588</v>
      </c>
      <c r="N5" s="8" t="str">
        <f t="shared" si="12"/>
        <v>#ERROR!</v>
      </c>
    </row>
    <row r="6">
      <c r="A6" s="1" t="s">
        <v>8</v>
      </c>
      <c r="B6" s="1" t="s">
        <v>21</v>
      </c>
      <c r="C6" s="3">
        <f t="shared" si="1"/>
        <v>16</v>
      </c>
      <c r="D6" s="5">
        <f t="shared" si="2"/>
        <v>6</v>
      </c>
      <c r="E6" s="5">
        <f t="shared" si="3"/>
        <v>0</v>
      </c>
      <c r="F6" s="5">
        <f t="shared" si="4"/>
        <v>10</v>
      </c>
      <c r="G6" s="5">
        <f t="shared" si="5"/>
        <v>115</v>
      </c>
      <c r="H6" s="5">
        <f t="shared" si="6"/>
        <v>7.1875</v>
      </c>
      <c r="I6" s="5">
        <f t="shared" si="7"/>
        <v>139</v>
      </c>
      <c r="J6" s="5">
        <f t="shared" si="8"/>
        <v>8.6875</v>
      </c>
      <c r="K6" s="5">
        <f t="shared" si="9"/>
        <v>-1.5</v>
      </c>
      <c r="L6" s="8">
        <f t="shared" si="10"/>
        <v>0.375</v>
      </c>
      <c r="M6" s="8">
        <f t="shared" si="11"/>
        <v>0</v>
      </c>
      <c r="N6" s="8">
        <f t="shared" si="12"/>
        <v>0.625</v>
      </c>
    </row>
    <row r="7">
      <c r="A7" s="1" t="s">
        <v>8</v>
      </c>
      <c r="B7" s="1" t="s">
        <v>14</v>
      </c>
      <c r="C7" s="3">
        <f t="shared" si="1"/>
        <v>16</v>
      </c>
      <c r="D7" s="5">
        <f t="shared" si="2"/>
        <v>5</v>
      </c>
      <c r="E7" s="5">
        <f t="shared" si="3"/>
        <v>1</v>
      </c>
      <c r="F7" s="5">
        <f t="shared" si="4"/>
        <v>10</v>
      </c>
      <c r="G7" s="5">
        <f t="shared" si="5"/>
        <v>115</v>
      </c>
      <c r="H7" s="5">
        <f t="shared" si="6"/>
        <v>7.1875</v>
      </c>
      <c r="I7" s="5">
        <f t="shared" si="7"/>
        <v>137</v>
      </c>
      <c r="J7" s="5">
        <f t="shared" si="8"/>
        <v>8.5625</v>
      </c>
      <c r="K7" s="5">
        <f t="shared" si="9"/>
        <v>-1.375</v>
      </c>
      <c r="L7" s="8">
        <f t="shared" si="10"/>
        <v>0.3125</v>
      </c>
      <c r="M7" s="8">
        <f t="shared" si="11"/>
        <v>0.0625</v>
      </c>
      <c r="N7" s="8">
        <f t="shared" si="12"/>
        <v>0.625</v>
      </c>
    </row>
    <row r="8">
      <c r="A8" s="1" t="s">
        <v>18</v>
      </c>
      <c r="B8" s="1" t="s">
        <v>8</v>
      </c>
      <c r="C8" s="3">
        <f t="shared" si="1"/>
        <v>16</v>
      </c>
      <c r="D8" s="5">
        <f t="shared" si="2"/>
        <v>9</v>
      </c>
      <c r="E8" s="5">
        <f t="shared" si="3"/>
        <v>1</v>
      </c>
      <c r="F8" s="5">
        <f t="shared" si="4"/>
        <v>5</v>
      </c>
      <c r="G8" s="5">
        <f t="shared" si="5"/>
        <v>136</v>
      </c>
      <c r="H8" s="5">
        <f t="shared" si="6"/>
        <v>8.5</v>
      </c>
      <c r="I8" s="5" t="str">
        <f t="shared" si="7"/>
        <v>6251136125</v>
      </c>
      <c r="J8" s="5">
        <f t="shared" si="8"/>
        <v>390696007.8</v>
      </c>
      <c r="K8" s="5">
        <f t="shared" si="9"/>
        <v>-390695999.3</v>
      </c>
      <c r="L8" s="8">
        <f t="shared" si="10"/>
        <v>0.5625</v>
      </c>
      <c r="M8" s="8">
        <f t="shared" si="11"/>
        <v>0.0625</v>
      </c>
      <c r="N8" s="8">
        <f t="shared" si="12"/>
        <v>0.3125</v>
      </c>
    </row>
    <row r="9">
      <c r="A9" s="1" t="s">
        <v>19</v>
      </c>
      <c r="B9" s="1" t="s">
        <v>14</v>
      </c>
      <c r="C9" s="3">
        <f t="shared" si="1"/>
        <v>15</v>
      </c>
      <c r="D9" s="5">
        <f t="shared" si="2"/>
        <v>3</v>
      </c>
      <c r="E9" s="5" t="str">
        <f t="shared" si="3"/>
        <v>#ERROR!</v>
      </c>
      <c r="F9" s="5">
        <f t="shared" si="4"/>
        <v>10</v>
      </c>
      <c r="G9" s="5">
        <f t="shared" si="5"/>
        <v>99</v>
      </c>
      <c r="H9" s="5">
        <f t="shared" si="6"/>
        <v>6.6</v>
      </c>
      <c r="I9" s="5">
        <f t="shared" si="7"/>
        <v>116</v>
      </c>
      <c r="J9" s="5">
        <f t="shared" si="8"/>
        <v>7.733333333</v>
      </c>
      <c r="K9" s="5">
        <f t="shared" si="9"/>
        <v>-1.133333333</v>
      </c>
      <c r="L9" s="8">
        <f t="shared" si="10"/>
        <v>0.2</v>
      </c>
      <c r="M9" s="8" t="str">
        <f t="shared" si="11"/>
        <v>#ERROR!</v>
      </c>
      <c r="N9" s="8">
        <f t="shared" si="12"/>
        <v>0.6666666667</v>
      </c>
    </row>
    <row r="10">
      <c r="A10" s="1" t="s">
        <v>14</v>
      </c>
      <c r="B10" s="1" t="s">
        <v>16</v>
      </c>
      <c r="C10" s="3" t="str">
        <f t="shared" si="1"/>
        <v>#ERROR!</v>
      </c>
      <c r="D10" s="5">
        <f t="shared" si="2"/>
        <v>9</v>
      </c>
      <c r="E10" s="5">
        <f t="shared" si="3"/>
        <v>0</v>
      </c>
      <c r="F10" s="5">
        <f t="shared" si="4"/>
        <v>6</v>
      </c>
      <c r="G10" s="5">
        <f t="shared" si="5"/>
        <v>116</v>
      </c>
      <c r="H10" s="5" t="str">
        <f t="shared" si="6"/>
        <v>#ERROR!</v>
      </c>
      <c r="I10" s="5">
        <f t="shared" si="7"/>
        <v>111</v>
      </c>
      <c r="J10" s="5" t="str">
        <f t="shared" si="8"/>
        <v>#ERROR!</v>
      </c>
      <c r="K10" s="5" t="str">
        <f t="shared" si="9"/>
        <v>#ERROR!</v>
      </c>
      <c r="L10" s="8" t="str">
        <f t="shared" si="10"/>
        <v>#ERROR!</v>
      </c>
      <c r="M10" s="8" t="str">
        <f t="shared" si="11"/>
        <v>#ERROR!</v>
      </c>
      <c r="N10" s="8" t="str">
        <f t="shared" si="12"/>
        <v>#ERROR!</v>
      </c>
    </row>
    <row r="11">
      <c r="A11" s="1" t="s">
        <v>21</v>
      </c>
      <c r="B11" s="1" t="s">
        <v>15</v>
      </c>
      <c r="C11" s="3">
        <f t="shared" si="1"/>
        <v>14</v>
      </c>
      <c r="D11" s="5">
        <f t="shared" si="2"/>
        <v>7</v>
      </c>
      <c r="E11" s="5" t="str">
        <f t="shared" si="3"/>
        <v>#ERROR!</v>
      </c>
      <c r="F11" s="5">
        <f t="shared" si="4"/>
        <v>6</v>
      </c>
      <c r="G11" s="5">
        <f t="shared" si="5"/>
        <v>130</v>
      </c>
      <c r="H11" s="5">
        <f t="shared" si="6"/>
        <v>9.285714286</v>
      </c>
      <c r="I11" s="5">
        <f t="shared" si="7"/>
        <v>115</v>
      </c>
      <c r="J11" s="5">
        <f t="shared" si="8"/>
        <v>8.214285714</v>
      </c>
      <c r="K11" s="5">
        <f t="shared" si="9"/>
        <v>1.071428571</v>
      </c>
      <c r="L11" s="8">
        <f t="shared" si="10"/>
        <v>0.5</v>
      </c>
      <c r="M11" s="8" t="str">
        <f t="shared" si="11"/>
        <v>#ERROR!</v>
      </c>
      <c r="N11" s="8">
        <f t="shared" si="12"/>
        <v>0.4285714286</v>
      </c>
    </row>
    <row r="12">
      <c r="A12" s="1" t="s">
        <v>8</v>
      </c>
      <c r="B12" s="1" t="s">
        <v>13</v>
      </c>
      <c r="C12" s="3">
        <f t="shared" si="1"/>
        <v>14</v>
      </c>
      <c r="D12" s="5">
        <f t="shared" si="2"/>
        <v>5</v>
      </c>
      <c r="E12" s="5">
        <f t="shared" si="3"/>
        <v>1</v>
      </c>
      <c r="F12" s="5">
        <f t="shared" si="4"/>
        <v>7</v>
      </c>
      <c r="G12" s="5">
        <f t="shared" si="5"/>
        <v>115</v>
      </c>
      <c r="H12" s="5">
        <f t="shared" si="6"/>
        <v>8.214285714</v>
      </c>
      <c r="I12" s="5" t="str">
        <f t="shared" si="7"/>
        <v>711561489</v>
      </c>
      <c r="J12" s="5">
        <f t="shared" si="8"/>
        <v>50825820.64</v>
      </c>
      <c r="K12" s="5">
        <f t="shared" si="9"/>
        <v>-50825812.43</v>
      </c>
      <c r="L12" s="8">
        <f t="shared" si="10"/>
        <v>0.3571428571</v>
      </c>
      <c r="M12" s="8">
        <f t="shared" si="11"/>
        <v>0.07142857143</v>
      </c>
      <c r="N12" s="8">
        <f t="shared" si="12"/>
        <v>0.5</v>
      </c>
    </row>
    <row r="13">
      <c r="A13" s="1" t="s">
        <v>18</v>
      </c>
      <c r="B13" s="1" t="s">
        <v>14</v>
      </c>
      <c r="C13" s="3">
        <f t="shared" si="1"/>
        <v>14</v>
      </c>
      <c r="D13" s="5">
        <f t="shared" si="2"/>
        <v>6</v>
      </c>
      <c r="E13" s="5">
        <f t="shared" si="3"/>
        <v>2</v>
      </c>
      <c r="F13" s="5">
        <f t="shared" si="4"/>
        <v>6</v>
      </c>
      <c r="G13" s="5">
        <f t="shared" si="5"/>
        <v>109</v>
      </c>
      <c r="H13" s="5">
        <f t="shared" si="6"/>
        <v>7.785714286</v>
      </c>
      <c r="I13" s="5">
        <f t="shared" si="7"/>
        <v>107</v>
      </c>
      <c r="J13" s="5">
        <f t="shared" si="8"/>
        <v>7.642857143</v>
      </c>
      <c r="K13" s="5">
        <f t="shared" si="9"/>
        <v>0.1428571429</v>
      </c>
      <c r="L13" s="8">
        <f t="shared" si="10"/>
        <v>0.4285714286</v>
      </c>
      <c r="M13" s="8">
        <f t="shared" si="11"/>
        <v>0.1428571429</v>
      </c>
      <c r="N13" s="8">
        <f t="shared" si="12"/>
        <v>0.4285714286</v>
      </c>
    </row>
    <row r="14">
      <c r="A14" s="1" t="s">
        <v>8</v>
      </c>
      <c r="B14" s="1" t="s">
        <v>19</v>
      </c>
      <c r="C14" s="3">
        <f t="shared" si="1"/>
        <v>14</v>
      </c>
      <c r="D14" s="5">
        <f t="shared" si="2"/>
        <v>6</v>
      </c>
      <c r="E14" s="5" t="str">
        <f t="shared" si="3"/>
        <v>#ERROR!</v>
      </c>
      <c r="F14" s="5">
        <f t="shared" si="4"/>
        <v>7</v>
      </c>
      <c r="G14" s="5">
        <f t="shared" si="5"/>
        <v>94</v>
      </c>
      <c r="H14" s="5">
        <f t="shared" si="6"/>
        <v>6.714285714</v>
      </c>
      <c r="I14" s="5">
        <f t="shared" si="7"/>
        <v>116</v>
      </c>
      <c r="J14" s="5">
        <f t="shared" si="8"/>
        <v>8.285714286</v>
      </c>
      <c r="K14" s="5">
        <f t="shared" si="9"/>
        <v>-1.571428571</v>
      </c>
      <c r="L14" s="8">
        <f t="shared" si="10"/>
        <v>0.4285714286</v>
      </c>
      <c r="M14" s="8" t="str">
        <f t="shared" si="11"/>
        <v>#ERROR!</v>
      </c>
      <c r="N14" s="8">
        <f t="shared" si="12"/>
        <v>0.5</v>
      </c>
      <c r="Y14" s="8"/>
      <c r="Z14" s="8"/>
      <c r="AA14" s="8"/>
    </row>
    <row r="15">
      <c r="A15" s="1" t="s">
        <v>8</v>
      </c>
      <c r="B15" s="1" t="s">
        <v>16</v>
      </c>
      <c r="C15" s="3">
        <f t="shared" si="1"/>
        <v>14</v>
      </c>
      <c r="D15" s="5">
        <f t="shared" si="2"/>
        <v>7</v>
      </c>
      <c r="E15" s="5">
        <f t="shared" si="3"/>
        <v>0</v>
      </c>
      <c r="F15" s="5">
        <f t="shared" si="4"/>
        <v>7</v>
      </c>
      <c r="G15" s="5">
        <f t="shared" si="5"/>
        <v>105</v>
      </c>
      <c r="H15" s="5">
        <f t="shared" si="6"/>
        <v>7.5</v>
      </c>
      <c r="I15" s="5">
        <f t="shared" si="7"/>
        <v>124</v>
      </c>
      <c r="J15" s="5">
        <f t="shared" si="8"/>
        <v>8.857142857</v>
      </c>
      <c r="K15" s="5">
        <f t="shared" si="9"/>
        <v>-1.357142857</v>
      </c>
      <c r="L15" s="8">
        <f t="shared" si="10"/>
        <v>0.5</v>
      </c>
      <c r="M15" s="8">
        <f t="shared" si="11"/>
        <v>0</v>
      </c>
      <c r="N15" s="8">
        <f t="shared" si="12"/>
        <v>0.5</v>
      </c>
      <c r="Y15" s="8"/>
      <c r="Z15" s="8"/>
      <c r="AA15" s="8"/>
    </row>
    <row r="16">
      <c r="A16" s="1" t="s">
        <v>18</v>
      </c>
      <c r="B16" s="1" t="s">
        <v>11</v>
      </c>
      <c r="C16" s="3">
        <f t="shared" si="1"/>
        <v>14</v>
      </c>
      <c r="D16" s="5">
        <f t="shared" si="2"/>
        <v>6</v>
      </c>
      <c r="E16" s="5">
        <f t="shared" si="3"/>
        <v>2</v>
      </c>
      <c r="F16" s="5">
        <f t="shared" si="4"/>
        <v>6</v>
      </c>
      <c r="G16" s="5">
        <f t="shared" si="5"/>
        <v>110</v>
      </c>
      <c r="H16" s="5">
        <f t="shared" si="6"/>
        <v>7.857142857</v>
      </c>
      <c r="I16" s="5">
        <f t="shared" si="7"/>
        <v>99</v>
      </c>
      <c r="J16" s="5">
        <f t="shared" si="8"/>
        <v>7.071428571</v>
      </c>
      <c r="K16" s="5">
        <f t="shared" si="9"/>
        <v>0.7857142857</v>
      </c>
      <c r="L16" s="8">
        <f t="shared" si="10"/>
        <v>0.4285714286</v>
      </c>
      <c r="M16" s="8">
        <f t="shared" si="11"/>
        <v>0.1428571429</v>
      </c>
      <c r="N16" s="8">
        <f t="shared" si="12"/>
        <v>0.4285714286</v>
      </c>
      <c r="Y16" s="8"/>
      <c r="Z16" s="8"/>
      <c r="AA16" s="8"/>
    </row>
    <row r="17">
      <c r="A17" s="1" t="s">
        <v>17</v>
      </c>
      <c r="B17" s="1" t="s">
        <v>16</v>
      </c>
      <c r="C17" s="3">
        <f t="shared" si="1"/>
        <v>14</v>
      </c>
      <c r="D17" s="5">
        <f t="shared" si="2"/>
        <v>7</v>
      </c>
      <c r="E17" s="5">
        <f t="shared" si="3"/>
        <v>0</v>
      </c>
      <c r="F17" s="5">
        <f t="shared" si="4"/>
        <v>6</v>
      </c>
      <c r="G17" s="5">
        <f t="shared" si="5"/>
        <v>98</v>
      </c>
      <c r="H17" s="5">
        <f t="shared" si="6"/>
        <v>7</v>
      </c>
      <c r="I17" s="5" t="str">
        <f t="shared" si="7"/>
        <v>644578913</v>
      </c>
      <c r="J17" s="5">
        <f t="shared" si="8"/>
        <v>46041350.93</v>
      </c>
      <c r="K17" s="5">
        <f t="shared" si="9"/>
        <v>-46041343.93</v>
      </c>
      <c r="L17" s="8">
        <f t="shared" si="10"/>
        <v>0.5</v>
      </c>
      <c r="M17" s="8">
        <f t="shared" si="11"/>
        <v>0</v>
      </c>
      <c r="N17" s="8">
        <f t="shared" si="12"/>
        <v>0.4285714286</v>
      </c>
      <c r="Y17" s="8"/>
      <c r="Z17" s="8"/>
      <c r="AA17" s="8"/>
    </row>
    <row r="18">
      <c r="A18" s="1" t="s">
        <v>17</v>
      </c>
      <c r="B18" s="1" t="s">
        <v>21</v>
      </c>
      <c r="C18" s="3">
        <f t="shared" si="1"/>
        <v>13</v>
      </c>
      <c r="D18" s="5">
        <f t="shared" si="2"/>
        <v>6</v>
      </c>
      <c r="E18" s="5">
        <f t="shared" si="3"/>
        <v>2</v>
      </c>
      <c r="F18" s="5">
        <f t="shared" si="4"/>
        <v>5</v>
      </c>
      <c r="G18" s="5">
        <f t="shared" si="5"/>
        <v>111</v>
      </c>
      <c r="H18" s="5">
        <f t="shared" si="6"/>
        <v>8.538461538</v>
      </c>
      <c r="I18" s="5">
        <f t="shared" si="7"/>
        <v>107</v>
      </c>
      <c r="J18" s="5">
        <f t="shared" si="8"/>
        <v>8.230769231</v>
      </c>
      <c r="K18" s="5">
        <f t="shared" si="9"/>
        <v>0.3076923077</v>
      </c>
      <c r="L18" s="8">
        <f t="shared" si="10"/>
        <v>0.4615384615</v>
      </c>
      <c r="M18" s="8">
        <f t="shared" si="11"/>
        <v>0.1538461538</v>
      </c>
      <c r="N18" s="8">
        <f t="shared" si="12"/>
        <v>0.3846153846</v>
      </c>
      <c r="Y18" s="8"/>
      <c r="Z18" s="8"/>
      <c r="AA18" s="8"/>
    </row>
    <row r="19">
      <c r="A19" s="1" t="s">
        <v>18</v>
      </c>
      <c r="B19" s="1" t="s">
        <v>15</v>
      </c>
      <c r="C19" s="3">
        <f t="shared" si="1"/>
        <v>13</v>
      </c>
      <c r="D19" s="5">
        <f t="shared" si="2"/>
        <v>8</v>
      </c>
      <c r="E19" s="5">
        <f t="shared" si="3"/>
        <v>1</v>
      </c>
      <c r="F19" s="5">
        <f t="shared" si="4"/>
        <v>3</v>
      </c>
      <c r="G19" s="5">
        <f t="shared" si="5"/>
        <v>109</v>
      </c>
      <c r="H19" s="5">
        <f t="shared" si="6"/>
        <v>8.384615385</v>
      </c>
      <c r="I19" s="5" t="str">
        <f t="shared" si="7"/>
        <v>338511331213</v>
      </c>
      <c r="J19" s="5">
        <f t="shared" si="8"/>
        <v>26039333170</v>
      </c>
      <c r="K19" s="5">
        <f t="shared" si="9"/>
        <v>-26039333162</v>
      </c>
      <c r="L19" s="8">
        <f t="shared" si="10"/>
        <v>0.6153846154</v>
      </c>
      <c r="M19" s="8">
        <f t="shared" si="11"/>
        <v>0.07692307692</v>
      </c>
      <c r="N19" s="8">
        <f t="shared" si="12"/>
        <v>0.2307692308</v>
      </c>
      <c r="Y19" s="8"/>
      <c r="Z19" s="8"/>
      <c r="AA19" s="8"/>
    </row>
    <row r="20">
      <c r="A20" s="1" t="s">
        <v>18</v>
      </c>
      <c r="B20" s="1" t="s">
        <v>16</v>
      </c>
      <c r="C20" s="3">
        <f t="shared" si="1"/>
        <v>13</v>
      </c>
      <c r="D20" s="5">
        <f t="shared" si="2"/>
        <v>7</v>
      </c>
      <c r="E20" s="5">
        <f t="shared" si="3"/>
        <v>0</v>
      </c>
      <c r="F20" s="5">
        <f t="shared" si="4"/>
        <v>5</v>
      </c>
      <c r="G20" s="5">
        <f t="shared" si="5"/>
        <v>87</v>
      </c>
      <c r="H20" s="5">
        <f t="shared" si="6"/>
        <v>6.692307692</v>
      </c>
      <c r="I20" s="5" t="str">
        <f t="shared" si="7"/>
        <v>5911337</v>
      </c>
      <c r="J20" s="5">
        <f t="shared" si="8"/>
        <v>454718.2308</v>
      </c>
      <c r="K20" s="5">
        <f t="shared" si="9"/>
        <v>-454711.5385</v>
      </c>
      <c r="L20" s="8">
        <f t="shared" si="10"/>
        <v>0.5384615385</v>
      </c>
      <c r="M20" s="8">
        <f t="shared" si="11"/>
        <v>0</v>
      </c>
      <c r="N20" s="8">
        <f t="shared" si="12"/>
        <v>0.3846153846</v>
      </c>
      <c r="Y20" s="8"/>
      <c r="Z20" s="8"/>
      <c r="AA20" s="8"/>
    </row>
    <row r="21">
      <c r="A21" s="1" t="s">
        <v>13</v>
      </c>
      <c r="B21" s="1" t="s">
        <v>15</v>
      </c>
      <c r="C21" s="3">
        <f t="shared" si="1"/>
        <v>13</v>
      </c>
      <c r="D21" s="5">
        <f t="shared" si="2"/>
        <v>7</v>
      </c>
      <c r="E21" s="5">
        <f t="shared" si="3"/>
        <v>2</v>
      </c>
      <c r="F21" s="5">
        <f t="shared" si="4"/>
        <v>3</v>
      </c>
      <c r="G21" s="5">
        <f t="shared" si="5"/>
        <v>115</v>
      </c>
      <c r="H21" s="5">
        <f t="shared" si="6"/>
        <v>8.846153846</v>
      </c>
      <c r="I21" s="5" t="str">
        <f t="shared" si="7"/>
        <v>4981193712</v>
      </c>
      <c r="J21" s="5">
        <f t="shared" si="8"/>
        <v>383168747.1</v>
      </c>
      <c r="K21" s="5">
        <f t="shared" si="9"/>
        <v>-383168738.2</v>
      </c>
      <c r="L21" s="8">
        <f t="shared" si="10"/>
        <v>0.5384615385</v>
      </c>
      <c r="M21" s="8">
        <f t="shared" si="11"/>
        <v>0.1538461538</v>
      </c>
      <c r="N21" s="8">
        <f t="shared" si="12"/>
        <v>0.2307692308</v>
      </c>
      <c r="Y21" s="8"/>
      <c r="Z21" s="8"/>
      <c r="AA21" s="8"/>
    </row>
    <row r="22">
      <c r="A22" s="1" t="s">
        <v>13</v>
      </c>
      <c r="B22" s="1" t="s">
        <v>19</v>
      </c>
      <c r="C22" s="3">
        <f t="shared" si="1"/>
        <v>13</v>
      </c>
      <c r="D22" s="5" t="str">
        <f t="shared" si="2"/>
        <v>#ERROR!</v>
      </c>
      <c r="E22" s="5">
        <f t="shared" si="3"/>
        <v>2</v>
      </c>
      <c r="F22" s="5">
        <f t="shared" si="4"/>
        <v>3</v>
      </c>
      <c r="G22" s="5">
        <f t="shared" si="5"/>
        <v>95</v>
      </c>
      <c r="H22" s="5">
        <f t="shared" si="6"/>
        <v>7.307692308</v>
      </c>
      <c r="I22" s="5" t="str">
        <f t="shared" si="7"/>
        <v>3811376415</v>
      </c>
      <c r="J22" s="5">
        <f t="shared" si="8"/>
        <v>293182801.2</v>
      </c>
      <c r="K22" s="5">
        <f t="shared" si="9"/>
        <v>-293182793.8</v>
      </c>
      <c r="L22" s="8" t="str">
        <f t="shared" si="10"/>
        <v>#ERROR!</v>
      </c>
      <c r="M22" s="8">
        <f t="shared" si="11"/>
        <v>0.1538461538</v>
      </c>
      <c r="N22" s="8">
        <f t="shared" si="12"/>
        <v>0.2307692308</v>
      </c>
      <c r="Y22" s="8"/>
      <c r="Z22" s="8"/>
      <c r="AA22" s="8"/>
    </row>
    <row r="23">
      <c r="A23" s="1" t="s">
        <v>13</v>
      </c>
      <c r="B23" s="1" t="s">
        <v>9</v>
      </c>
      <c r="C23" s="3">
        <f t="shared" si="1"/>
        <v>13</v>
      </c>
      <c r="D23" s="5">
        <f t="shared" si="2"/>
        <v>8</v>
      </c>
      <c r="E23" s="5">
        <f t="shared" si="3"/>
        <v>1</v>
      </c>
      <c r="F23" s="5">
        <f t="shared" si="4"/>
        <v>4</v>
      </c>
      <c r="G23" s="5">
        <f t="shared" si="5"/>
        <v>108</v>
      </c>
      <c r="H23" s="5">
        <f t="shared" si="6"/>
        <v>8.307692308</v>
      </c>
      <c r="I23" s="5">
        <f t="shared" si="7"/>
        <v>93</v>
      </c>
      <c r="J23" s="5">
        <f t="shared" si="8"/>
        <v>7.153846154</v>
      </c>
      <c r="K23" s="5">
        <f t="shared" si="9"/>
        <v>1.153846154</v>
      </c>
      <c r="L23" s="8">
        <f t="shared" si="10"/>
        <v>0.6153846154</v>
      </c>
      <c r="M23" s="8">
        <f t="shared" si="11"/>
        <v>0.07692307692</v>
      </c>
      <c r="N23" s="8">
        <f t="shared" si="12"/>
        <v>0.3076923077</v>
      </c>
      <c r="Y23" s="8"/>
      <c r="Z23" s="8"/>
      <c r="AA23" s="8"/>
    </row>
    <row r="24">
      <c r="A24" s="1" t="s">
        <v>11</v>
      </c>
      <c r="B24" s="1" t="s">
        <v>14</v>
      </c>
      <c r="C24" s="3">
        <f t="shared" si="1"/>
        <v>13</v>
      </c>
      <c r="D24" s="5">
        <f t="shared" si="2"/>
        <v>5</v>
      </c>
      <c r="E24" s="5" t="str">
        <f t="shared" si="3"/>
        <v>#ERROR!</v>
      </c>
      <c r="F24" s="5">
        <f t="shared" si="4"/>
        <v>6</v>
      </c>
      <c r="G24" s="5">
        <f t="shared" si="5"/>
        <v>101</v>
      </c>
      <c r="H24" s="5">
        <f t="shared" si="6"/>
        <v>7.769230769</v>
      </c>
      <c r="I24" s="5">
        <f t="shared" si="7"/>
        <v>115</v>
      </c>
      <c r="J24" s="5">
        <f t="shared" si="8"/>
        <v>8.846153846</v>
      </c>
      <c r="K24" s="5">
        <f t="shared" si="9"/>
        <v>-1.076923077</v>
      </c>
      <c r="L24" s="8">
        <f t="shared" si="10"/>
        <v>0.3846153846</v>
      </c>
      <c r="M24" s="8" t="str">
        <f t="shared" si="11"/>
        <v>#ERROR!</v>
      </c>
      <c r="N24" s="8">
        <f t="shared" si="12"/>
        <v>0.4615384615</v>
      </c>
      <c r="Y24" s="8"/>
      <c r="Z24" s="8"/>
      <c r="AA24" s="8"/>
    </row>
    <row r="25">
      <c r="A25" s="1" t="s">
        <v>16</v>
      </c>
      <c r="B25" s="1" t="s">
        <v>9</v>
      </c>
      <c r="C25" s="3">
        <f t="shared" si="1"/>
        <v>13</v>
      </c>
      <c r="D25" s="5">
        <f t="shared" si="2"/>
        <v>7</v>
      </c>
      <c r="E25" s="5">
        <f t="shared" si="3"/>
        <v>0</v>
      </c>
      <c r="F25" s="5">
        <f t="shared" si="4"/>
        <v>5</v>
      </c>
      <c r="G25" s="5">
        <f t="shared" si="5"/>
        <v>115</v>
      </c>
      <c r="H25" s="5">
        <f t="shared" si="6"/>
        <v>8.846153846</v>
      </c>
      <c r="I25" s="5" t="str">
        <f t="shared" si="7"/>
        <v>526124125</v>
      </c>
      <c r="J25" s="5">
        <f t="shared" si="8"/>
        <v>40471086.54</v>
      </c>
      <c r="K25" s="5">
        <f t="shared" si="9"/>
        <v>-40471077.69</v>
      </c>
      <c r="L25" s="8">
        <f t="shared" si="10"/>
        <v>0.5384615385</v>
      </c>
      <c r="M25" s="8">
        <f t="shared" si="11"/>
        <v>0</v>
      </c>
      <c r="N25" s="8">
        <f t="shared" si="12"/>
        <v>0.3846153846</v>
      </c>
      <c r="Y25" s="8"/>
      <c r="Z25" s="8"/>
      <c r="AA25" s="8"/>
    </row>
    <row r="26">
      <c r="A26" s="1" t="s">
        <v>11</v>
      </c>
      <c r="B26" s="1" t="s">
        <v>16</v>
      </c>
      <c r="C26" s="3">
        <f t="shared" si="1"/>
        <v>13</v>
      </c>
      <c r="D26" s="5">
        <f t="shared" si="2"/>
        <v>7</v>
      </c>
      <c r="E26" s="5">
        <f t="shared" si="3"/>
        <v>0</v>
      </c>
      <c r="F26" s="5">
        <f t="shared" si="4"/>
        <v>6</v>
      </c>
      <c r="G26" s="5">
        <f t="shared" si="5"/>
        <v>93</v>
      </c>
      <c r="H26" s="5">
        <f t="shared" si="6"/>
        <v>7.153846154</v>
      </c>
      <c r="I26" s="5">
        <f t="shared" si="7"/>
        <v>99</v>
      </c>
      <c r="J26" s="5">
        <f t="shared" si="8"/>
        <v>7.615384615</v>
      </c>
      <c r="K26" s="5">
        <f t="shared" si="9"/>
        <v>-0.4615384615</v>
      </c>
      <c r="L26" s="8">
        <f t="shared" si="10"/>
        <v>0.5384615385</v>
      </c>
      <c r="M26" s="8">
        <f t="shared" si="11"/>
        <v>0</v>
      </c>
      <c r="N26" s="8">
        <f t="shared" si="12"/>
        <v>0.4615384615</v>
      </c>
      <c r="Y26" s="8"/>
      <c r="Z26" s="8"/>
      <c r="AA26" s="8"/>
    </row>
    <row r="27">
      <c r="A27" s="1" t="s">
        <v>8</v>
      </c>
      <c r="B27" s="1" t="s">
        <v>20</v>
      </c>
      <c r="C27" s="3">
        <f t="shared" si="1"/>
        <v>13</v>
      </c>
      <c r="D27" s="5">
        <f t="shared" si="2"/>
        <v>8</v>
      </c>
      <c r="E27" s="5">
        <f t="shared" si="3"/>
        <v>0</v>
      </c>
      <c r="F27" s="5">
        <f t="shared" si="4"/>
        <v>5</v>
      </c>
      <c r="G27" s="5" t="str">
        <f t="shared" si="5"/>
        <v>#ERROR!</v>
      </c>
      <c r="H27" s="5" t="str">
        <f t="shared" si="6"/>
        <v>#ERROR!</v>
      </c>
      <c r="I27" s="5" t="str">
        <f t="shared" si="7"/>
        <v>#ERROR!</v>
      </c>
      <c r="J27" s="5" t="str">
        <f t="shared" si="8"/>
        <v>#ERROR!</v>
      </c>
      <c r="K27" s="5" t="str">
        <f t="shared" si="9"/>
        <v>#ERROR!</v>
      </c>
      <c r="L27" s="8">
        <f t="shared" si="10"/>
        <v>0.6153846154</v>
      </c>
      <c r="M27" s="8">
        <f t="shared" si="11"/>
        <v>0</v>
      </c>
      <c r="N27" s="8">
        <f t="shared" si="12"/>
        <v>0.3846153846</v>
      </c>
      <c r="Y27" s="8"/>
      <c r="Z27" s="8"/>
      <c r="AA27" s="8"/>
    </row>
    <row r="28">
      <c r="A28" s="1" t="s">
        <v>21</v>
      </c>
      <c r="B28" s="1" t="s">
        <v>9</v>
      </c>
      <c r="C28" s="3">
        <f t="shared" si="1"/>
        <v>12</v>
      </c>
      <c r="D28" s="5">
        <f t="shared" si="2"/>
        <v>8</v>
      </c>
      <c r="E28" s="5">
        <f t="shared" si="3"/>
        <v>1</v>
      </c>
      <c r="F28" s="5">
        <f t="shared" si="4"/>
        <v>3</v>
      </c>
      <c r="G28" s="5">
        <f t="shared" si="5"/>
        <v>101</v>
      </c>
      <c r="H28" s="5">
        <f t="shared" si="6"/>
        <v>8.416666667</v>
      </c>
      <c r="I28" s="5">
        <f t="shared" si="7"/>
        <v>80</v>
      </c>
      <c r="J28" s="5">
        <f t="shared" si="8"/>
        <v>6.666666667</v>
      </c>
      <c r="K28" s="5">
        <f t="shared" si="9"/>
        <v>1.75</v>
      </c>
      <c r="L28" s="8">
        <f t="shared" si="10"/>
        <v>0.6666666667</v>
      </c>
      <c r="M28" s="8">
        <f t="shared" si="11"/>
        <v>0.08333333333</v>
      </c>
      <c r="N28" s="8">
        <f t="shared" si="12"/>
        <v>0.25</v>
      </c>
      <c r="Y28" s="8"/>
      <c r="Z28" s="8"/>
      <c r="AA28" s="8"/>
    </row>
    <row r="29">
      <c r="A29" s="1" t="s">
        <v>21</v>
      </c>
      <c r="B29" s="1" t="s">
        <v>16</v>
      </c>
      <c r="C29" s="3">
        <f t="shared" si="1"/>
        <v>12</v>
      </c>
      <c r="D29" s="5">
        <f t="shared" si="2"/>
        <v>8</v>
      </c>
      <c r="E29" s="5">
        <f t="shared" si="3"/>
        <v>1</v>
      </c>
      <c r="F29" s="5">
        <f t="shared" si="4"/>
        <v>3</v>
      </c>
      <c r="G29" s="5">
        <f t="shared" si="5"/>
        <v>105</v>
      </c>
      <c r="H29" s="5">
        <f t="shared" si="6"/>
        <v>8.75</v>
      </c>
      <c r="I29" s="5">
        <f t="shared" si="7"/>
        <v>85</v>
      </c>
      <c r="J29" s="5">
        <f t="shared" si="8"/>
        <v>7.083333333</v>
      </c>
      <c r="K29" s="5">
        <f t="shared" si="9"/>
        <v>1.666666667</v>
      </c>
      <c r="L29" s="8">
        <f t="shared" si="10"/>
        <v>0.6666666667</v>
      </c>
      <c r="M29" s="8">
        <f t="shared" si="11"/>
        <v>0.08333333333</v>
      </c>
      <c r="N29" s="8">
        <f t="shared" si="12"/>
        <v>0.25</v>
      </c>
      <c r="Y29" s="8"/>
      <c r="Z29" s="8"/>
      <c r="AA29" s="8"/>
    </row>
    <row r="30">
      <c r="A30" s="1" t="s">
        <v>18</v>
      </c>
      <c r="B30" s="1" t="s">
        <v>9</v>
      </c>
      <c r="C30" s="3" t="str">
        <f t="shared" si="1"/>
        <v>#ERROR!</v>
      </c>
      <c r="D30" s="5">
        <f t="shared" si="2"/>
        <v>7</v>
      </c>
      <c r="E30" s="5" t="str">
        <f t="shared" si="3"/>
        <v>#ERROR!</v>
      </c>
      <c r="F30" s="5">
        <f t="shared" si="4"/>
        <v>5</v>
      </c>
      <c r="G30" s="5">
        <f t="shared" si="5"/>
        <v>90</v>
      </c>
      <c r="H30" s="5" t="str">
        <f t="shared" si="6"/>
        <v>#ERROR!</v>
      </c>
      <c r="I30" s="5">
        <f t="shared" si="7"/>
        <v>80</v>
      </c>
      <c r="J30" s="5" t="str">
        <f t="shared" si="8"/>
        <v>#ERROR!</v>
      </c>
      <c r="K30" s="5" t="str">
        <f t="shared" si="9"/>
        <v>#ERROR!</v>
      </c>
      <c r="L30" s="8" t="str">
        <f t="shared" si="10"/>
        <v>#ERROR!</v>
      </c>
      <c r="M30" s="8" t="str">
        <f t="shared" si="11"/>
        <v>#ERROR!</v>
      </c>
      <c r="N30" s="8" t="str">
        <f t="shared" si="12"/>
        <v>#ERROR!</v>
      </c>
      <c r="Y30" s="8"/>
      <c r="Z30" s="8"/>
      <c r="AA30" s="8"/>
    </row>
    <row r="31">
      <c r="A31" s="1" t="s">
        <v>13</v>
      </c>
      <c r="B31" s="1" t="s">
        <v>16</v>
      </c>
      <c r="C31" s="3">
        <f t="shared" si="1"/>
        <v>12</v>
      </c>
      <c r="D31" s="5">
        <f t="shared" si="2"/>
        <v>7</v>
      </c>
      <c r="E31" s="5">
        <f t="shared" si="3"/>
        <v>0</v>
      </c>
      <c r="F31" s="5">
        <f t="shared" si="4"/>
        <v>4</v>
      </c>
      <c r="G31" s="5">
        <f t="shared" si="5"/>
        <v>97</v>
      </c>
      <c r="H31" s="5">
        <f t="shared" si="6"/>
        <v>8.083333333</v>
      </c>
      <c r="I31" s="5" t="str">
        <f t="shared" si="7"/>
        <v>491011937</v>
      </c>
      <c r="J31" s="5">
        <f t="shared" si="8"/>
        <v>40917661.42</v>
      </c>
      <c r="K31" s="5">
        <f t="shared" si="9"/>
        <v>-40917653.33</v>
      </c>
      <c r="L31" s="8">
        <f t="shared" si="10"/>
        <v>0.5833333333</v>
      </c>
      <c r="M31" s="8">
        <f t="shared" si="11"/>
        <v>0</v>
      </c>
      <c r="N31" s="8">
        <f t="shared" si="12"/>
        <v>0.3333333333</v>
      </c>
      <c r="Y31" s="8"/>
      <c r="Z31" s="8"/>
      <c r="AA31" s="8"/>
    </row>
    <row r="32">
      <c r="A32" s="1" t="s">
        <v>19</v>
      </c>
      <c r="B32" s="1" t="s">
        <v>9</v>
      </c>
      <c r="C32" s="3">
        <f t="shared" si="1"/>
        <v>12</v>
      </c>
      <c r="D32" s="5">
        <f t="shared" si="2"/>
        <v>5</v>
      </c>
      <c r="E32" s="5">
        <f t="shared" si="3"/>
        <v>2</v>
      </c>
      <c r="F32" s="5">
        <f t="shared" si="4"/>
        <v>4</v>
      </c>
      <c r="G32" s="5">
        <f t="shared" si="5"/>
        <v>87</v>
      </c>
      <c r="H32" s="5">
        <f t="shared" si="6"/>
        <v>7.25</v>
      </c>
      <c r="I32" s="5" t="str">
        <f t="shared" si="7"/>
        <v>495145</v>
      </c>
      <c r="J32" s="5">
        <f t="shared" si="8"/>
        <v>41262.08333</v>
      </c>
      <c r="K32" s="5">
        <f t="shared" si="9"/>
        <v>-41254.83333</v>
      </c>
      <c r="L32" s="8">
        <f t="shared" si="10"/>
        <v>0.4166666667</v>
      </c>
      <c r="M32" s="8">
        <f t="shared" si="11"/>
        <v>0.1666666667</v>
      </c>
      <c r="N32" s="8">
        <f t="shared" si="12"/>
        <v>0.3333333333</v>
      </c>
      <c r="Y32" s="8"/>
      <c r="Z32" s="8"/>
      <c r="AA32" s="8"/>
    </row>
    <row r="33">
      <c r="A33" s="1" t="s">
        <v>17</v>
      </c>
      <c r="B33" s="1" t="s">
        <v>9</v>
      </c>
      <c r="C33" s="3" t="str">
        <f t="shared" si="1"/>
        <v>#ERROR!</v>
      </c>
      <c r="D33" s="5">
        <f t="shared" si="2"/>
        <v>5</v>
      </c>
      <c r="E33" s="5">
        <f t="shared" si="3"/>
        <v>1</v>
      </c>
      <c r="F33" s="5">
        <f t="shared" si="4"/>
        <v>6</v>
      </c>
      <c r="G33" s="5">
        <f t="shared" si="5"/>
        <v>87</v>
      </c>
      <c r="H33" s="5" t="str">
        <f t="shared" si="6"/>
        <v>#ERROR!</v>
      </c>
      <c r="I33" s="5">
        <f t="shared" si="7"/>
        <v>92</v>
      </c>
      <c r="J33" s="5" t="str">
        <f t="shared" si="8"/>
        <v>#ERROR!</v>
      </c>
      <c r="K33" s="5" t="str">
        <f t="shared" si="9"/>
        <v>#ERROR!</v>
      </c>
      <c r="L33" s="8" t="str">
        <f t="shared" si="10"/>
        <v>#ERROR!</v>
      </c>
      <c r="M33" s="8" t="str">
        <f t="shared" si="11"/>
        <v>#ERROR!</v>
      </c>
      <c r="N33" s="8" t="str">
        <f t="shared" si="12"/>
        <v>#ERROR!</v>
      </c>
      <c r="Y33" s="8"/>
      <c r="Z33" s="8"/>
      <c r="AA33" s="8"/>
    </row>
    <row r="34">
      <c r="A34" s="1" t="s">
        <v>14</v>
      </c>
      <c r="B34" s="1" t="s">
        <v>20</v>
      </c>
      <c r="C34" s="3">
        <f t="shared" si="1"/>
        <v>12</v>
      </c>
      <c r="D34" s="5" t="str">
        <f t="shared" si="2"/>
        <v>#ERROR!</v>
      </c>
      <c r="E34" s="5">
        <f t="shared" si="3"/>
        <v>2</v>
      </c>
      <c r="F34" s="5">
        <f t="shared" si="4"/>
        <v>3</v>
      </c>
      <c r="G34" s="5">
        <f t="shared" si="5"/>
        <v>87</v>
      </c>
      <c r="H34" s="5">
        <f t="shared" si="6"/>
        <v>7.25</v>
      </c>
      <c r="I34" s="5">
        <f t="shared" si="7"/>
        <v>77</v>
      </c>
      <c r="J34" s="5">
        <f t="shared" si="8"/>
        <v>6.416666667</v>
      </c>
      <c r="K34" s="5">
        <f t="shared" si="9"/>
        <v>0.8333333333</v>
      </c>
      <c r="L34" s="8" t="str">
        <f t="shared" si="10"/>
        <v>#ERROR!</v>
      </c>
      <c r="M34" s="8">
        <f t="shared" si="11"/>
        <v>0.1666666667</v>
      </c>
      <c r="N34" s="8">
        <f t="shared" si="12"/>
        <v>0.25</v>
      </c>
      <c r="Y34" s="8"/>
      <c r="Z34" s="8"/>
      <c r="AA34" s="8"/>
    </row>
    <row r="35">
      <c r="A35" s="1" t="s">
        <v>8</v>
      </c>
      <c r="B35" s="1" t="s">
        <v>15</v>
      </c>
      <c r="C35" s="3">
        <f t="shared" si="1"/>
        <v>12</v>
      </c>
      <c r="D35" s="5">
        <f t="shared" si="2"/>
        <v>7</v>
      </c>
      <c r="E35" s="5">
        <f t="shared" si="3"/>
        <v>2</v>
      </c>
      <c r="F35" s="5">
        <f t="shared" si="4"/>
        <v>3</v>
      </c>
      <c r="G35" s="5">
        <f t="shared" si="5"/>
        <v>110</v>
      </c>
      <c r="H35" s="5">
        <f t="shared" si="6"/>
        <v>9.166666667</v>
      </c>
      <c r="I35" s="5">
        <f t="shared" si="7"/>
        <v>107</v>
      </c>
      <c r="J35" s="5">
        <f t="shared" si="8"/>
        <v>8.916666667</v>
      </c>
      <c r="K35" s="5">
        <f t="shared" si="9"/>
        <v>0.25</v>
      </c>
      <c r="L35" s="8">
        <f t="shared" si="10"/>
        <v>0.5833333333</v>
      </c>
      <c r="M35" s="8">
        <f t="shared" si="11"/>
        <v>0.1666666667</v>
      </c>
      <c r="N35" s="8">
        <f t="shared" si="12"/>
        <v>0.25</v>
      </c>
      <c r="Y35" s="8"/>
      <c r="Z35" s="8"/>
      <c r="AA35" s="8"/>
    </row>
    <row r="36">
      <c r="A36" s="1" t="s">
        <v>17</v>
      </c>
      <c r="B36" s="1" t="s">
        <v>8</v>
      </c>
      <c r="C36" s="3">
        <f t="shared" si="1"/>
        <v>12</v>
      </c>
      <c r="D36" s="5">
        <f t="shared" si="2"/>
        <v>4</v>
      </c>
      <c r="E36" s="5">
        <f t="shared" si="3"/>
        <v>1</v>
      </c>
      <c r="F36" s="5">
        <f t="shared" si="4"/>
        <v>6</v>
      </c>
      <c r="G36" s="5">
        <f t="shared" si="5"/>
        <v>81</v>
      </c>
      <c r="H36" s="5">
        <f t="shared" si="6"/>
        <v>6.75</v>
      </c>
      <c r="I36" s="5" t="str">
        <f t="shared" si="7"/>
        <v>71495</v>
      </c>
      <c r="J36" s="5">
        <f t="shared" si="8"/>
        <v>5957.916667</v>
      </c>
      <c r="K36" s="5">
        <f t="shared" si="9"/>
        <v>-5951.166667</v>
      </c>
      <c r="L36" s="8">
        <f t="shared" si="10"/>
        <v>0.3333333333</v>
      </c>
      <c r="M36" s="8">
        <f t="shared" si="11"/>
        <v>0.08333333333</v>
      </c>
      <c r="N36" s="8">
        <f t="shared" si="12"/>
        <v>0.5</v>
      </c>
      <c r="Y36" s="8"/>
      <c r="Z36" s="8"/>
      <c r="AA36" s="8"/>
    </row>
    <row r="37">
      <c r="A37" s="1" t="s">
        <v>16</v>
      </c>
      <c r="B37" s="1" t="s">
        <v>15</v>
      </c>
      <c r="C37" s="3">
        <f t="shared" si="1"/>
        <v>12</v>
      </c>
      <c r="D37" s="5">
        <f t="shared" si="2"/>
        <v>7</v>
      </c>
      <c r="E37" s="5" t="str">
        <f t="shared" si="3"/>
        <v>#ERROR!</v>
      </c>
      <c r="F37" s="5">
        <f t="shared" si="4"/>
        <v>4</v>
      </c>
      <c r="G37" s="5">
        <f t="shared" si="5"/>
        <v>102</v>
      </c>
      <c r="H37" s="5">
        <f t="shared" si="6"/>
        <v>8.5</v>
      </c>
      <c r="I37" s="5">
        <f t="shared" si="7"/>
        <v>85</v>
      </c>
      <c r="J37" s="5">
        <f t="shared" si="8"/>
        <v>7.083333333</v>
      </c>
      <c r="K37" s="5">
        <f t="shared" si="9"/>
        <v>1.416666667</v>
      </c>
      <c r="L37" s="8">
        <f t="shared" si="10"/>
        <v>0.5833333333</v>
      </c>
      <c r="M37" s="8" t="str">
        <f t="shared" si="11"/>
        <v>#ERROR!</v>
      </c>
      <c r="N37" s="8">
        <f t="shared" si="12"/>
        <v>0.3333333333</v>
      </c>
      <c r="Y37" s="8"/>
      <c r="Z37" s="8"/>
      <c r="AA37" s="8"/>
    </row>
    <row r="38">
      <c r="A38" s="1" t="s">
        <v>16</v>
      </c>
      <c r="B38" s="1" t="s">
        <v>20</v>
      </c>
      <c r="C38" s="3">
        <f t="shared" si="1"/>
        <v>12</v>
      </c>
      <c r="D38" s="5">
        <f t="shared" si="2"/>
        <v>6</v>
      </c>
      <c r="E38" s="5">
        <f t="shared" si="3"/>
        <v>0</v>
      </c>
      <c r="F38" s="5">
        <f t="shared" si="4"/>
        <v>6</v>
      </c>
      <c r="G38" s="5">
        <f t="shared" si="5"/>
        <v>89</v>
      </c>
      <c r="H38" s="5">
        <f t="shared" si="6"/>
        <v>7.416666667</v>
      </c>
      <c r="I38" s="5">
        <f t="shared" si="7"/>
        <v>90</v>
      </c>
      <c r="J38" s="5">
        <f t="shared" si="8"/>
        <v>7.5</v>
      </c>
      <c r="K38" s="5">
        <f t="shared" si="9"/>
        <v>-0.08333333333</v>
      </c>
      <c r="L38" s="8">
        <f t="shared" si="10"/>
        <v>0.5</v>
      </c>
      <c r="M38" s="8">
        <f t="shared" si="11"/>
        <v>0</v>
      </c>
      <c r="N38" s="8">
        <f t="shared" si="12"/>
        <v>0.5</v>
      </c>
      <c r="Y38" s="8"/>
      <c r="Z38" s="8"/>
      <c r="AA38" s="8"/>
    </row>
    <row r="39">
      <c r="A39" s="1" t="s">
        <v>17</v>
      </c>
      <c r="B39" s="1" t="s">
        <v>15</v>
      </c>
      <c r="C39" s="3">
        <f t="shared" si="1"/>
        <v>12</v>
      </c>
      <c r="D39" s="5">
        <f t="shared" si="2"/>
        <v>6</v>
      </c>
      <c r="E39" s="5">
        <f t="shared" si="3"/>
        <v>1</v>
      </c>
      <c r="F39" s="5">
        <f t="shared" si="4"/>
        <v>4</v>
      </c>
      <c r="G39" s="5">
        <f t="shared" si="5"/>
        <v>97</v>
      </c>
      <c r="H39" s="5">
        <f t="shared" si="6"/>
        <v>8.083333333</v>
      </c>
      <c r="I39" s="5" t="str">
        <f t="shared" si="7"/>
        <v>624579</v>
      </c>
      <c r="J39" s="5">
        <f t="shared" si="8"/>
        <v>52048.25</v>
      </c>
      <c r="K39" s="5">
        <f t="shared" si="9"/>
        <v>-52040.16667</v>
      </c>
      <c r="L39" s="8">
        <f t="shared" si="10"/>
        <v>0.5</v>
      </c>
      <c r="M39" s="8">
        <f t="shared" si="11"/>
        <v>0.08333333333</v>
      </c>
      <c r="N39" s="8">
        <f t="shared" si="12"/>
        <v>0.3333333333</v>
      </c>
      <c r="Y39" s="8"/>
      <c r="Z39" s="8"/>
      <c r="AA39" s="8"/>
    </row>
    <row r="40">
      <c r="A40" s="1" t="s">
        <v>11</v>
      </c>
      <c r="B40" s="1" t="s">
        <v>20</v>
      </c>
      <c r="C40" s="3">
        <f t="shared" si="1"/>
        <v>12</v>
      </c>
      <c r="D40" s="5">
        <f t="shared" si="2"/>
        <v>8</v>
      </c>
      <c r="E40" s="5">
        <f t="shared" si="3"/>
        <v>0</v>
      </c>
      <c r="F40" s="5">
        <f t="shared" si="4"/>
        <v>4</v>
      </c>
      <c r="G40" s="5">
        <f t="shared" si="5"/>
        <v>98</v>
      </c>
      <c r="H40" s="5">
        <f t="shared" si="6"/>
        <v>8.166666667</v>
      </c>
      <c r="I40" s="5">
        <f t="shared" si="7"/>
        <v>92</v>
      </c>
      <c r="J40" s="5">
        <f t="shared" si="8"/>
        <v>7.666666667</v>
      </c>
      <c r="K40" s="5">
        <f t="shared" si="9"/>
        <v>0.5</v>
      </c>
      <c r="L40" s="8">
        <f t="shared" si="10"/>
        <v>0.6666666667</v>
      </c>
      <c r="M40" s="8">
        <f t="shared" si="11"/>
        <v>0</v>
      </c>
      <c r="N40" s="8">
        <f t="shared" si="12"/>
        <v>0.3333333333</v>
      </c>
      <c r="Y40" s="8"/>
      <c r="Z40" s="8"/>
      <c r="AA40" s="8"/>
    </row>
    <row r="41">
      <c r="A41" s="1" t="s">
        <v>19</v>
      </c>
      <c r="B41" s="1" t="s">
        <v>16</v>
      </c>
      <c r="C41" s="3">
        <f t="shared" si="1"/>
        <v>12</v>
      </c>
      <c r="D41" s="5">
        <f t="shared" si="2"/>
        <v>5</v>
      </c>
      <c r="E41" s="5">
        <f t="shared" si="3"/>
        <v>1</v>
      </c>
      <c r="F41" s="5">
        <f t="shared" si="4"/>
        <v>6</v>
      </c>
      <c r="G41" s="5">
        <f t="shared" si="5"/>
        <v>89</v>
      </c>
      <c r="H41" s="5">
        <f t="shared" si="6"/>
        <v>7.416666667</v>
      </c>
      <c r="I41" s="5">
        <f t="shared" si="7"/>
        <v>87</v>
      </c>
      <c r="J41" s="5">
        <f t="shared" si="8"/>
        <v>7.25</v>
      </c>
      <c r="K41" s="5">
        <f t="shared" si="9"/>
        <v>0.1666666667</v>
      </c>
      <c r="L41" s="8">
        <f t="shared" si="10"/>
        <v>0.4166666667</v>
      </c>
      <c r="M41" s="8">
        <f t="shared" si="11"/>
        <v>0.08333333333</v>
      </c>
      <c r="N41" s="8">
        <f t="shared" si="12"/>
        <v>0.5</v>
      </c>
      <c r="Y41" s="8"/>
      <c r="Z41" s="8"/>
      <c r="AA41" s="8"/>
    </row>
    <row r="42">
      <c r="A42" s="1" t="s">
        <v>18</v>
      </c>
      <c r="B42" s="1" t="s">
        <v>17</v>
      </c>
      <c r="C42" s="3">
        <f t="shared" si="1"/>
        <v>11</v>
      </c>
      <c r="D42" s="5">
        <f t="shared" si="2"/>
        <v>5</v>
      </c>
      <c r="E42" s="5">
        <f t="shared" si="3"/>
        <v>1</v>
      </c>
      <c r="F42" s="5">
        <f t="shared" si="4"/>
        <v>5</v>
      </c>
      <c r="G42" s="5">
        <f t="shared" si="5"/>
        <v>94</v>
      </c>
      <c r="H42" s="5">
        <f t="shared" si="6"/>
        <v>8.545454545</v>
      </c>
      <c r="I42" s="5">
        <f t="shared" si="7"/>
        <v>89</v>
      </c>
      <c r="J42" s="5">
        <f t="shared" si="8"/>
        <v>8.090909091</v>
      </c>
      <c r="K42" s="5">
        <f t="shared" si="9"/>
        <v>0.4545454545</v>
      </c>
      <c r="L42" s="8">
        <f t="shared" si="10"/>
        <v>0.4545454545</v>
      </c>
      <c r="M42" s="8">
        <f t="shared" si="11"/>
        <v>0.09090909091</v>
      </c>
      <c r="N42" s="8">
        <f t="shared" si="12"/>
        <v>0.4545454545</v>
      </c>
      <c r="Y42" s="8"/>
      <c r="Z42" s="8"/>
      <c r="AA42" s="8"/>
    </row>
    <row r="43">
      <c r="A43" s="1" t="s">
        <v>15</v>
      </c>
      <c r="B43" s="1" t="s">
        <v>9</v>
      </c>
      <c r="C43" s="3">
        <f t="shared" si="1"/>
        <v>11</v>
      </c>
      <c r="D43" s="5">
        <f t="shared" si="2"/>
        <v>3</v>
      </c>
      <c r="E43" s="5">
        <f t="shared" si="3"/>
        <v>2</v>
      </c>
      <c r="F43" s="5" t="str">
        <f t="shared" si="4"/>
        <v>#ERROR!</v>
      </c>
      <c r="G43" s="5">
        <f t="shared" si="5"/>
        <v>82</v>
      </c>
      <c r="H43" s="5">
        <f t="shared" si="6"/>
        <v>7.454545455</v>
      </c>
      <c r="I43" s="5" t="str">
        <f t="shared" si="7"/>
        <v>7015</v>
      </c>
      <c r="J43" s="5">
        <f t="shared" si="8"/>
        <v>637.7272727</v>
      </c>
      <c r="K43" s="5">
        <f t="shared" si="9"/>
        <v>-630.2727273</v>
      </c>
      <c r="L43" s="8">
        <f t="shared" si="10"/>
        <v>0.2727272727</v>
      </c>
      <c r="M43" s="8">
        <f t="shared" si="11"/>
        <v>0.1818181818</v>
      </c>
      <c r="N43" s="8" t="str">
        <f t="shared" si="12"/>
        <v>#ERROR!</v>
      </c>
      <c r="Y43" s="8"/>
      <c r="Z43" s="8"/>
      <c r="AA43" s="8"/>
    </row>
    <row r="44">
      <c r="A44" s="1" t="s">
        <v>21</v>
      </c>
      <c r="B44" s="1" t="s">
        <v>20</v>
      </c>
      <c r="C44" s="3">
        <f t="shared" si="1"/>
        <v>11</v>
      </c>
      <c r="D44" s="5">
        <f t="shared" si="2"/>
        <v>5</v>
      </c>
      <c r="E44" s="5">
        <f t="shared" si="3"/>
        <v>1</v>
      </c>
      <c r="F44" s="5">
        <f t="shared" si="4"/>
        <v>5</v>
      </c>
      <c r="G44" s="5">
        <f t="shared" si="5"/>
        <v>91</v>
      </c>
      <c r="H44" s="5">
        <f t="shared" si="6"/>
        <v>8.272727273</v>
      </c>
      <c r="I44" s="5">
        <f t="shared" si="7"/>
        <v>89</v>
      </c>
      <c r="J44" s="5">
        <f t="shared" si="8"/>
        <v>8.090909091</v>
      </c>
      <c r="K44" s="5">
        <f t="shared" si="9"/>
        <v>0.1818181818</v>
      </c>
      <c r="L44" s="8">
        <f t="shared" si="10"/>
        <v>0.4545454545</v>
      </c>
      <c r="M44" s="8">
        <f t="shared" si="11"/>
        <v>0.09090909091</v>
      </c>
      <c r="N44" s="8">
        <f t="shared" si="12"/>
        <v>0.4545454545</v>
      </c>
      <c r="Y44" s="8"/>
      <c r="Z44" s="8"/>
      <c r="AA44" s="8"/>
    </row>
    <row r="45">
      <c r="A45" s="1" t="s">
        <v>8</v>
      </c>
      <c r="B45" s="1" t="s">
        <v>9</v>
      </c>
      <c r="C45" s="3">
        <f t="shared" si="1"/>
        <v>11</v>
      </c>
      <c r="D45" s="5">
        <f t="shared" si="2"/>
        <v>6</v>
      </c>
      <c r="E45" s="5">
        <f t="shared" si="3"/>
        <v>0</v>
      </c>
      <c r="F45" s="5" t="str">
        <f t="shared" si="4"/>
        <v>#ERROR!</v>
      </c>
      <c r="G45" s="5">
        <f t="shared" si="5"/>
        <v>86</v>
      </c>
      <c r="H45" s="5">
        <f t="shared" si="6"/>
        <v>7.818181818</v>
      </c>
      <c r="I45" s="5" t="str">
        <f t="shared" si="7"/>
        <v>47514412</v>
      </c>
      <c r="J45" s="5">
        <f t="shared" si="8"/>
        <v>4319492</v>
      </c>
      <c r="K45" s="5">
        <f t="shared" si="9"/>
        <v>-4319484.182</v>
      </c>
      <c r="L45" s="8">
        <f t="shared" si="10"/>
        <v>0.5454545455</v>
      </c>
      <c r="M45" s="8">
        <f t="shared" si="11"/>
        <v>0</v>
      </c>
      <c r="N45" s="8" t="str">
        <f t="shared" si="12"/>
        <v>#ERROR!</v>
      </c>
      <c r="Y45" s="8"/>
      <c r="Z45" s="8"/>
      <c r="AA45" s="8"/>
    </row>
    <row r="46">
      <c r="A46" s="1" t="s">
        <v>17</v>
      </c>
      <c r="B46" s="1" t="s">
        <v>19</v>
      </c>
      <c r="C46" s="3">
        <f t="shared" si="1"/>
        <v>11</v>
      </c>
      <c r="D46" s="5">
        <f t="shared" si="2"/>
        <v>3</v>
      </c>
      <c r="E46" s="5">
        <f t="shared" si="3"/>
        <v>1</v>
      </c>
      <c r="F46" s="5">
        <f t="shared" si="4"/>
        <v>6</v>
      </c>
      <c r="G46" s="5">
        <f t="shared" si="5"/>
        <v>73</v>
      </c>
      <c r="H46" s="5">
        <f t="shared" si="6"/>
        <v>6.636363636</v>
      </c>
      <c r="I46" s="5" t="str">
        <f t="shared" si="7"/>
        <v>4110125137</v>
      </c>
      <c r="J46" s="5">
        <f t="shared" si="8"/>
        <v>373647739.7</v>
      </c>
      <c r="K46" s="5">
        <f t="shared" si="9"/>
        <v>-373647733.1</v>
      </c>
      <c r="L46" s="8">
        <f t="shared" si="10"/>
        <v>0.2727272727</v>
      </c>
      <c r="M46" s="8">
        <f t="shared" si="11"/>
        <v>0.09090909091</v>
      </c>
      <c r="N46" s="8">
        <f t="shared" si="12"/>
        <v>0.5454545455</v>
      </c>
      <c r="Y46" s="8"/>
      <c r="Z46" s="8"/>
      <c r="AA46" s="8"/>
    </row>
    <row r="47">
      <c r="A47" s="1" t="s">
        <v>8</v>
      </c>
      <c r="B47" s="1" t="s">
        <v>24</v>
      </c>
      <c r="C47" s="3">
        <f t="shared" si="1"/>
        <v>10</v>
      </c>
      <c r="D47" s="5">
        <f t="shared" si="2"/>
        <v>6</v>
      </c>
      <c r="E47" s="5">
        <f t="shared" si="3"/>
        <v>0</v>
      </c>
      <c r="F47" s="5">
        <f t="shared" si="4"/>
        <v>4</v>
      </c>
      <c r="G47" s="5">
        <f t="shared" si="5"/>
        <v>78</v>
      </c>
      <c r="H47" s="5">
        <f t="shared" si="6"/>
        <v>7.8</v>
      </c>
      <c r="I47" s="5">
        <f t="shared" si="7"/>
        <v>75</v>
      </c>
      <c r="J47" s="5">
        <f t="shared" si="8"/>
        <v>7.5</v>
      </c>
      <c r="K47" s="5">
        <f t="shared" si="9"/>
        <v>0.3</v>
      </c>
      <c r="L47" s="8">
        <f t="shared" si="10"/>
        <v>0.6</v>
      </c>
      <c r="M47" s="8">
        <f t="shared" si="11"/>
        <v>0</v>
      </c>
      <c r="N47" s="8">
        <f t="shared" si="12"/>
        <v>0.4</v>
      </c>
      <c r="Y47" s="8"/>
      <c r="Z47" s="8"/>
      <c r="AA47" s="8"/>
    </row>
    <row r="48">
      <c r="A48" s="1" t="s">
        <v>17</v>
      </c>
      <c r="B48" s="1" t="s">
        <v>13</v>
      </c>
      <c r="C48" s="3">
        <f t="shared" si="1"/>
        <v>10</v>
      </c>
      <c r="D48" s="5">
        <f t="shared" si="2"/>
        <v>3</v>
      </c>
      <c r="E48" s="5">
        <f t="shared" si="3"/>
        <v>0</v>
      </c>
      <c r="F48" s="5">
        <f t="shared" si="4"/>
        <v>7</v>
      </c>
      <c r="G48" s="5">
        <f t="shared" si="5"/>
        <v>78</v>
      </c>
      <c r="H48" s="5">
        <f t="shared" si="6"/>
        <v>7.8</v>
      </c>
      <c r="I48" s="5">
        <f t="shared" si="7"/>
        <v>99</v>
      </c>
      <c r="J48" s="5">
        <f t="shared" si="8"/>
        <v>9.9</v>
      </c>
      <c r="K48" s="5">
        <f t="shared" si="9"/>
        <v>-2.1</v>
      </c>
      <c r="L48" s="8">
        <f t="shared" si="10"/>
        <v>0.3</v>
      </c>
      <c r="M48" s="8">
        <f t="shared" si="11"/>
        <v>0</v>
      </c>
      <c r="N48" s="8">
        <f t="shared" si="12"/>
        <v>0.7</v>
      </c>
      <c r="Y48" s="8"/>
      <c r="Z48" s="8"/>
      <c r="AA48" s="8"/>
    </row>
    <row r="49">
      <c r="A49" s="1" t="s">
        <v>21</v>
      </c>
      <c r="B49" s="1" t="s">
        <v>14</v>
      </c>
      <c r="C49" s="3">
        <f t="shared" si="1"/>
        <v>10</v>
      </c>
      <c r="D49" s="5">
        <f t="shared" si="2"/>
        <v>3</v>
      </c>
      <c r="E49" s="5">
        <f t="shared" si="3"/>
        <v>2</v>
      </c>
      <c r="F49" s="5" t="str">
        <f t="shared" si="4"/>
        <v>#ERROR!</v>
      </c>
      <c r="G49" s="5">
        <f t="shared" si="5"/>
        <v>81</v>
      </c>
      <c r="H49" s="5">
        <f t="shared" si="6"/>
        <v>8.1</v>
      </c>
      <c r="I49" s="5" t="str">
        <f t="shared" si="7"/>
        <v>#ERROR!</v>
      </c>
      <c r="J49" s="5" t="str">
        <f t="shared" si="8"/>
        <v>#ERROR!</v>
      </c>
      <c r="K49" s="5" t="str">
        <f t="shared" si="9"/>
        <v>#ERROR!</v>
      </c>
      <c r="L49" s="8">
        <f t="shared" si="10"/>
        <v>0.3</v>
      </c>
      <c r="M49" s="8">
        <f t="shared" si="11"/>
        <v>0.2</v>
      </c>
      <c r="N49" s="8" t="str">
        <f t="shared" si="12"/>
        <v>#ERROR!</v>
      </c>
      <c r="Y49" s="8"/>
      <c r="Z49" s="8"/>
      <c r="AA49" s="8"/>
    </row>
    <row r="50">
      <c r="A50" s="1" t="s">
        <v>11</v>
      </c>
      <c r="B50" s="1" t="s">
        <v>19</v>
      </c>
      <c r="C50" s="3" t="str">
        <f t="shared" si="1"/>
        <v>#ERROR!</v>
      </c>
      <c r="D50" s="5">
        <f t="shared" si="2"/>
        <v>4</v>
      </c>
      <c r="E50" s="5">
        <f t="shared" si="3"/>
        <v>1</v>
      </c>
      <c r="F50" s="5">
        <f t="shared" si="4"/>
        <v>5</v>
      </c>
      <c r="G50" s="5">
        <f t="shared" si="5"/>
        <v>68</v>
      </c>
      <c r="H50" s="5" t="str">
        <f t="shared" si="6"/>
        <v>#ERROR!</v>
      </c>
      <c r="I50" s="5">
        <f t="shared" si="7"/>
        <v>84</v>
      </c>
      <c r="J50" s="5" t="str">
        <f t="shared" si="8"/>
        <v>#ERROR!</v>
      </c>
      <c r="K50" s="5" t="str">
        <f t="shared" si="9"/>
        <v>#ERROR!</v>
      </c>
      <c r="L50" s="8" t="str">
        <f t="shared" si="10"/>
        <v>#ERROR!</v>
      </c>
      <c r="M50" s="8" t="str">
        <f t="shared" si="11"/>
        <v>#ERROR!</v>
      </c>
      <c r="N50" s="8" t="str">
        <f t="shared" si="12"/>
        <v>#ERROR!</v>
      </c>
    </row>
    <row r="51">
      <c r="A51" s="1" t="s">
        <v>11</v>
      </c>
      <c r="B51" s="1" t="s">
        <v>13</v>
      </c>
      <c r="C51" s="3">
        <f t="shared" si="1"/>
        <v>10</v>
      </c>
      <c r="D51" s="5">
        <f t="shared" si="2"/>
        <v>3</v>
      </c>
      <c r="E51" s="5">
        <f t="shared" si="3"/>
        <v>2</v>
      </c>
      <c r="F51" s="5">
        <f t="shared" si="4"/>
        <v>5</v>
      </c>
      <c r="G51" s="5">
        <f t="shared" si="5"/>
        <v>71</v>
      </c>
      <c r="H51" s="5">
        <f t="shared" si="6"/>
        <v>7.1</v>
      </c>
      <c r="I51" s="5">
        <f t="shared" si="7"/>
        <v>92</v>
      </c>
      <c r="J51" s="5">
        <f t="shared" si="8"/>
        <v>9.2</v>
      </c>
      <c r="K51" s="5">
        <f t="shared" si="9"/>
        <v>-2.1</v>
      </c>
      <c r="L51" s="8">
        <f t="shared" si="10"/>
        <v>0.3</v>
      </c>
      <c r="M51" s="8">
        <f t="shared" si="11"/>
        <v>0.2</v>
      </c>
      <c r="N51" s="8">
        <f t="shared" si="12"/>
        <v>0.5</v>
      </c>
    </row>
    <row r="52">
      <c r="A52" s="1" t="s">
        <v>18</v>
      </c>
      <c r="B52" s="1" t="s">
        <v>21</v>
      </c>
      <c r="C52" s="3">
        <f t="shared" si="1"/>
        <v>10</v>
      </c>
      <c r="D52" s="5">
        <f t="shared" si="2"/>
        <v>5</v>
      </c>
      <c r="E52" s="5">
        <f t="shared" si="3"/>
        <v>0</v>
      </c>
      <c r="F52" s="5">
        <f t="shared" si="4"/>
        <v>5</v>
      </c>
      <c r="G52" s="5">
        <f t="shared" si="5"/>
        <v>72</v>
      </c>
      <c r="H52" s="5">
        <f t="shared" si="6"/>
        <v>7.2</v>
      </c>
      <c r="I52" s="5">
        <f t="shared" si="7"/>
        <v>74</v>
      </c>
      <c r="J52" s="5">
        <f t="shared" si="8"/>
        <v>7.4</v>
      </c>
      <c r="K52" s="5">
        <f t="shared" si="9"/>
        <v>-0.2</v>
      </c>
      <c r="L52" s="8">
        <f t="shared" si="10"/>
        <v>0.5</v>
      </c>
      <c r="M52" s="8">
        <f t="shared" si="11"/>
        <v>0</v>
      </c>
      <c r="N52" s="8">
        <f t="shared" si="12"/>
        <v>0.5</v>
      </c>
    </row>
    <row r="53">
      <c r="A53" s="1" t="s">
        <v>11</v>
      </c>
      <c r="B53" s="1" t="s">
        <v>9</v>
      </c>
      <c r="C53" s="3">
        <f t="shared" si="1"/>
        <v>10</v>
      </c>
      <c r="D53" s="5">
        <f t="shared" si="2"/>
        <v>5</v>
      </c>
      <c r="E53" s="5">
        <f t="shared" si="3"/>
        <v>0</v>
      </c>
      <c r="F53" s="5">
        <f t="shared" si="4"/>
        <v>5</v>
      </c>
      <c r="G53" s="5">
        <f t="shared" si="5"/>
        <v>75</v>
      </c>
      <c r="H53" s="5">
        <f t="shared" si="6"/>
        <v>7.5</v>
      </c>
      <c r="I53" s="5">
        <f t="shared" si="7"/>
        <v>78</v>
      </c>
      <c r="J53" s="5">
        <f t="shared" si="8"/>
        <v>7.8</v>
      </c>
      <c r="K53" s="5">
        <f t="shared" si="9"/>
        <v>-0.3</v>
      </c>
      <c r="L53" s="8">
        <f t="shared" si="10"/>
        <v>0.5</v>
      </c>
      <c r="M53" s="8">
        <f t="shared" si="11"/>
        <v>0</v>
      </c>
      <c r="N53" s="8">
        <f t="shared" si="12"/>
        <v>0.5</v>
      </c>
    </row>
    <row r="54">
      <c r="A54" s="1" t="s">
        <v>11</v>
      </c>
      <c r="B54" s="1" t="s">
        <v>21</v>
      </c>
      <c r="C54" s="3">
        <f t="shared" si="1"/>
        <v>10</v>
      </c>
      <c r="D54" s="5">
        <f t="shared" si="2"/>
        <v>4</v>
      </c>
      <c r="E54" s="5">
        <f t="shared" si="3"/>
        <v>0</v>
      </c>
      <c r="F54" s="5">
        <f t="shared" si="4"/>
        <v>6</v>
      </c>
      <c r="G54" s="5">
        <f t="shared" si="5"/>
        <v>71</v>
      </c>
      <c r="H54" s="5">
        <f t="shared" si="6"/>
        <v>7.1</v>
      </c>
      <c r="I54" s="5">
        <f t="shared" si="7"/>
        <v>95</v>
      </c>
      <c r="J54" s="5">
        <f t="shared" si="8"/>
        <v>9.5</v>
      </c>
      <c r="K54" s="5">
        <f t="shared" si="9"/>
        <v>-2.4</v>
      </c>
      <c r="L54" s="8">
        <f t="shared" si="10"/>
        <v>0.4</v>
      </c>
      <c r="M54" s="8">
        <f t="shared" si="11"/>
        <v>0</v>
      </c>
      <c r="N54" s="8">
        <f t="shared" si="12"/>
        <v>0.6</v>
      </c>
    </row>
    <row r="55">
      <c r="A55" s="1" t="s">
        <v>19</v>
      </c>
      <c r="B55" s="1" t="s">
        <v>15</v>
      </c>
      <c r="C55" s="3">
        <f t="shared" si="1"/>
        <v>10</v>
      </c>
      <c r="D55" s="5">
        <f t="shared" si="2"/>
        <v>6</v>
      </c>
      <c r="E55" s="5">
        <f t="shared" si="3"/>
        <v>0</v>
      </c>
      <c r="F55" s="5">
        <f t="shared" si="4"/>
        <v>4</v>
      </c>
      <c r="G55" s="5">
        <f t="shared" si="5"/>
        <v>93</v>
      </c>
      <c r="H55" s="5">
        <f t="shared" si="6"/>
        <v>9.3</v>
      </c>
      <c r="I55" s="5" t="str">
        <f t="shared" si="7"/>
        <v>#ERROR!</v>
      </c>
      <c r="J55" s="5" t="str">
        <f t="shared" si="8"/>
        <v>#ERROR!</v>
      </c>
      <c r="K55" s="5" t="str">
        <f t="shared" si="9"/>
        <v>#ERROR!</v>
      </c>
      <c r="L55" s="8">
        <f t="shared" si="10"/>
        <v>0.6</v>
      </c>
      <c r="M55" s="8">
        <f t="shared" si="11"/>
        <v>0</v>
      </c>
      <c r="N55" s="8">
        <f t="shared" si="12"/>
        <v>0.4</v>
      </c>
    </row>
    <row r="56">
      <c r="A56" s="1" t="s">
        <v>24</v>
      </c>
      <c r="B56" s="1" t="s">
        <v>9</v>
      </c>
      <c r="C56" s="3">
        <f t="shared" si="1"/>
        <v>9</v>
      </c>
      <c r="D56" s="5">
        <f t="shared" si="2"/>
        <v>5</v>
      </c>
      <c r="E56" s="5">
        <f t="shared" si="3"/>
        <v>0</v>
      </c>
      <c r="F56" s="5">
        <f t="shared" si="4"/>
        <v>3</v>
      </c>
      <c r="G56" s="5">
        <f t="shared" si="5"/>
        <v>65</v>
      </c>
      <c r="H56" s="5">
        <f t="shared" si="6"/>
        <v>7.222222222</v>
      </c>
      <c r="I56" s="5" t="str">
        <f t="shared" si="7"/>
        <v>335415</v>
      </c>
      <c r="J56" s="5">
        <f t="shared" si="8"/>
        <v>37268.33333</v>
      </c>
      <c r="K56" s="5">
        <f t="shared" si="9"/>
        <v>-37261.11111</v>
      </c>
      <c r="L56" s="8">
        <f t="shared" si="10"/>
        <v>0.5555555556</v>
      </c>
      <c r="M56" s="8">
        <f t="shared" si="11"/>
        <v>0</v>
      </c>
      <c r="N56" s="8">
        <f t="shared" si="12"/>
        <v>0.3333333333</v>
      </c>
    </row>
    <row r="57">
      <c r="A57" s="1" t="s">
        <v>18</v>
      </c>
      <c r="B57" s="1" t="s">
        <v>13</v>
      </c>
      <c r="C57" s="3">
        <f t="shared" si="1"/>
        <v>9</v>
      </c>
      <c r="D57" s="5" t="str">
        <f t="shared" si="2"/>
        <v>#ERROR!</v>
      </c>
      <c r="E57" s="5">
        <f t="shared" si="3"/>
        <v>2</v>
      </c>
      <c r="F57" s="5" t="str">
        <f t="shared" si="4"/>
        <v>#ERROR!</v>
      </c>
      <c r="G57" s="5">
        <f t="shared" si="5"/>
        <v>67</v>
      </c>
      <c r="H57" s="5">
        <f t="shared" si="6"/>
        <v>7.444444444</v>
      </c>
      <c r="I57" s="5">
        <f t="shared" si="7"/>
        <v>65</v>
      </c>
      <c r="J57" s="5">
        <f t="shared" si="8"/>
        <v>7.222222222</v>
      </c>
      <c r="K57" s="5">
        <f t="shared" si="9"/>
        <v>0.2222222222</v>
      </c>
      <c r="L57" s="8" t="str">
        <f t="shared" si="10"/>
        <v>#ERROR!</v>
      </c>
      <c r="M57" s="8">
        <f t="shared" si="11"/>
        <v>0.2222222222</v>
      </c>
      <c r="N57" s="8" t="str">
        <f t="shared" si="12"/>
        <v>#ERROR!</v>
      </c>
    </row>
    <row r="58">
      <c r="A58" s="1" t="s">
        <v>20</v>
      </c>
      <c r="B58" s="1" t="s">
        <v>15</v>
      </c>
      <c r="C58" s="3">
        <f t="shared" si="1"/>
        <v>9</v>
      </c>
      <c r="D58" s="5">
        <f t="shared" si="2"/>
        <v>3</v>
      </c>
      <c r="E58" s="5">
        <f t="shared" si="3"/>
        <v>2</v>
      </c>
      <c r="F58" s="5">
        <f t="shared" si="4"/>
        <v>4</v>
      </c>
      <c r="G58" s="5">
        <f t="shared" si="5"/>
        <v>75</v>
      </c>
      <c r="H58" s="5">
        <f t="shared" si="6"/>
        <v>8.333333333</v>
      </c>
      <c r="I58" s="5">
        <f t="shared" si="7"/>
        <v>70</v>
      </c>
      <c r="J58" s="5">
        <f t="shared" si="8"/>
        <v>7.777777778</v>
      </c>
      <c r="K58" s="5">
        <f t="shared" si="9"/>
        <v>0.5555555556</v>
      </c>
      <c r="L58" s="8">
        <f t="shared" si="10"/>
        <v>0.3333333333</v>
      </c>
      <c r="M58" s="8">
        <f t="shared" si="11"/>
        <v>0.2222222222</v>
      </c>
      <c r="N58" s="8">
        <f t="shared" si="12"/>
        <v>0.4444444444</v>
      </c>
    </row>
    <row r="59">
      <c r="A59" s="1" t="s">
        <v>17</v>
      </c>
      <c r="B59" s="1" t="s">
        <v>20</v>
      </c>
      <c r="C59" s="3">
        <f t="shared" si="1"/>
        <v>9</v>
      </c>
      <c r="D59" s="5">
        <f t="shared" si="2"/>
        <v>6</v>
      </c>
      <c r="E59" s="5">
        <f t="shared" si="3"/>
        <v>1</v>
      </c>
      <c r="F59" s="5">
        <f t="shared" si="4"/>
        <v>2</v>
      </c>
      <c r="G59" s="5">
        <f t="shared" si="5"/>
        <v>78</v>
      </c>
      <c r="H59" s="5">
        <f t="shared" si="6"/>
        <v>8.666666667</v>
      </c>
      <c r="I59" s="5" t="str">
        <f t="shared" si="7"/>
        <v>#ERROR!</v>
      </c>
      <c r="J59" s="5" t="str">
        <f t="shared" si="8"/>
        <v>#ERROR!</v>
      </c>
      <c r="K59" s="5" t="str">
        <f t="shared" si="9"/>
        <v>#ERROR!</v>
      </c>
      <c r="L59" s="8">
        <f t="shared" si="10"/>
        <v>0.6666666667</v>
      </c>
      <c r="M59" s="8">
        <f t="shared" si="11"/>
        <v>0.1111111111</v>
      </c>
      <c r="N59" s="8">
        <f t="shared" si="12"/>
        <v>0.2222222222</v>
      </c>
    </row>
    <row r="60">
      <c r="A60" s="1" t="s">
        <v>11</v>
      </c>
      <c r="B60" s="1" t="s">
        <v>8</v>
      </c>
      <c r="C60" s="3">
        <f t="shared" si="1"/>
        <v>9</v>
      </c>
      <c r="D60" s="5">
        <f t="shared" si="2"/>
        <v>4</v>
      </c>
      <c r="E60" s="5">
        <f t="shared" si="3"/>
        <v>0</v>
      </c>
      <c r="F60" s="5">
        <f t="shared" si="4"/>
        <v>5</v>
      </c>
      <c r="G60" s="5">
        <f t="shared" si="5"/>
        <v>70</v>
      </c>
      <c r="H60" s="5">
        <f t="shared" si="6"/>
        <v>7.777777778</v>
      </c>
      <c r="I60" s="5">
        <f t="shared" si="7"/>
        <v>72</v>
      </c>
      <c r="J60" s="5">
        <f t="shared" si="8"/>
        <v>8</v>
      </c>
      <c r="K60" s="5">
        <f t="shared" si="9"/>
        <v>-0.2222222222</v>
      </c>
      <c r="L60" s="8">
        <f t="shared" si="10"/>
        <v>0.4444444444</v>
      </c>
      <c r="M60" s="8">
        <f t="shared" si="11"/>
        <v>0</v>
      </c>
      <c r="N60" s="8">
        <f t="shared" si="12"/>
        <v>0.5555555556</v>
      </c>
    </row>
    <row r="61">
      <c r="A61" s="1" t="s">
        <v>20</v>
      </c>
      <c r="B61" s="1" t="s">
        <v>9</v>
      </c>
      <c r="C61" s="3">
        <f t="shared" si="1"/>
        <v>9</v>
      </c>
      <c r="D61" s="5">
        <f t="shared" si="2"/>
        <v>4</v>
      </c>
      <c r="E61" s="5">
        <f t="shared" si="3"/>
        <v>0</v>
      </c>
      <c r="F61" s="5">
        <f t="shared" si="4"/>
        <v>5</v>
      </c>
      <c r="G61" s="5">
        <f t="shared" si="5"/>
        <v>67</v>
      </c>
      <c r="H61" s="5">
        <f t="shared" si="6"/>
        <v>7.444444444</v>
      </c>
      <c r="I61" s="5">
        <f t="shared" si="7"/>
        <v>72</v>
      </c>
      <c r="J61" s="5">
        <f t="shared" si="8"/>
        <v>8</v>
      </c>
      <c r="K61" s="5">
        <f t="shared" si="9"/>
        <v>-0.5555555556</v>
      </c>
      <c r="L61" s="8">
        <f t="shared" si="10"/>
        <v>0.4444444444</v>
      </c>
      <c r="M61" s="8">
        <f t="shared" si="11"/>
        <v>0</v>
      </c>
      <c r="N61" s="8">
        <f t="shared" si="12"/>
        <v>0.5555555556</v>
      </c>
    </row>
    <row r="62">
      <c r="L62" s="8"/>
      <c r="M62" s="8"/>
      <c r="N62" s="8"/>
    </row>
    <row r="63">
      <c r="L63" s="8"/>
      <c r="M63" s="8"/>
      <c r="N63" s="8"/>
    </row>
    <row r="64">
      <c r="L64" s="8"/>
      <c r="M64" s="8"/>
      <c r="N64" s="8"/>
    </row>
    <row r="65">
      <c r="L65" s="8"/>
      <c r="M65" s="8"/>
      <c r="N65" s="8"/>
    </row>
    <row r="66">
      <c r="L66" s="8"/>
      <c r="M66" s="8"/>
      <c r="N66" s="8"/>
    </row>
    <row r="67">
      <c r="L67" s="8"/>
      <c r="M67" s="8"/>
      <c r="N67" s="8"/>
    </row>
    <row r="68">
      <c r="L68" s="8"/>
      <c r="M68" s="8"/>
      <c r="N68" s="8"/>
    </row>
    <row r="69">
      <c r="L69" s="8"/>
      <c r="M69" s="8"/>
      <c r="N69" s="8"/>
    </row>
    <row r="70">
      <c r="L70" s="8"/>
      <c r="M70" s="8"/>
      <c r="N70" s="8"/>
    </row>
    <row r="71">
      <c r="L71" s="8"/>
      <c r="M71" s="8"/>
      <c r="N71" s="8"/>
    </row>
    <row r="72">
      <c r="L72" s="8"/>
      <c r="M72" s="8"/>
      <c r="N72" s="8"/>
    </row>
    <row r="73">
      <c r="L73" s="8"/>
      <c r="M73" s="8"/>
      <c r="N73" s="8"/>
    </row>
    <row r="74">
      <c r="L74" s="8"/>
      <c r="M74" s="8"/>
      <c r="N74" s="8"/>
    </row>
    <row r="75">
      <c r="L75" s="8"/>
      <c r="M75" s="8"/>
      <c r="N75" s="8"/>
    </row>
    <row r="76">
      <c r="L76" s="8"/>
      <c r="M76" s="8"/>
      <c r="N76" s="8"/>
    </row>
    <row r="77">
      <c r="L77" s="8"/>
      <c r="M77" s="8"/>
      <c r="N77" s="8"/>
    </row>
    <row r="78">
      <c r="L78" s="8"/>
      <c r="M78" s="8"/>
      <c r="N78" s="8"/>
    </row>
    <row r="79">
      <c r="L79" s="8"/>
      <c r="M79" s="8"/>
      <c r="N79" s="8"/>
    </row>
    <row r="80">
      <c r="L80" s="8"/>
      <c r="M80" s="8"/>
      <c r="N80" s="8"/>
    </row>
    <row r="81">
      <c r="L81" s="8"/>
      <c r="M81" s="8"/>
      <c r="N81" s="8"/>
    </row>
    <row r="82">
      <c r="L82" s="8"/>
      <c r="M82" s="8"/>
      <c r="N82" s="8"/>
    </row>
    <row r="83">
      <c r="L83" s="8"/>
      <c r="M83" s="8"/>
      <c r="N83" s="8"/>
    </row>
    <row r="84">
      <c r="L84" s="8"/>
      <c r="M84" s="8"/>
      <c r="N84" s="8"/>
    </row>
    <row r="85">
      <c r="L85" s="8"/>
      <c r="M85" s="8"/>
      <c r="N85" s="8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2.88"/>
    <col customWidth="1" min="4" max="4" width="27.63"/>
    <col customWidth="1" min="5" max="5" width="14.38"/>
    <col customWidth="1" min="6" max="6" width="19.88"/>
    <col customWidth="1" min="7" max="7" width="22.63"/>
    <col customWidth="1" min="8" max="8" width="23.13"/>
    <col customWidth="1" min="9" max="9" width="16.63"/>
  </cols>
  <sheetData>
    <row r="1">
      <c r="A1" s="2"/>
      <c r="B1" s="2" t="s">
        <v>133</v>
      </c>
      <c r="C1" s="2" t="s">
        <v>134</v>
      </c>
      <c r="D1" s="11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1"/>
      <c r="B2" s="1" t="s">
        <v>141</v>
      </c>
      <c r="C2" s="1" t="s">
        <v>142</v>
      </c>
      <c r="D2" s="12" t="s">
        <v>143</v>
      </c>
      <c r="E2" s="1" t="s">
        <v>144</v>
      </c>
      <c r="F2" s="13"/>
      <c r="G2" s="13"/>
      <c r="H2" s="1"/>
      <c r="I2" s="1" t="s">
        <v>21</v>
      </c>
    </row>
    <row r="3">
      <c r="A3" s="1"/>
      <c r="B3" s="1" t="s">
        <v>145</v>
      </c>
      <c r="C3" s="1" t="s">
        <v>142</v>
      </c>
      <c r="D3" s="12" t="s">
        <v>146</v>
      </c>
      <c r="E3" s="1" t="s">
        <v>147</v>
      </c>
      <c r="F3" s="1" t="s">
        <v>147</v>
      </c>
      <c r="G3" s="1" t="s">
        <v>148</v>
      </c>
      <c r="H3" s="1" t="s">
        <v>149</v>
      </c>
      <c r="I3" s="1" t="s">
        <v>15</v>
      </c>
    </row>
    <row r="4">
      <c r="A4" s="1"/>
      <c r="B4" s="1" t="s">
        <v>150</v>
      </c>
      <c r="C4" s="1" t="s">
        <v>142</v>
      </c>
      <c r="D4" s="12" t="s">
        <v>151</v>
      </c>
      <c r="E4" s="1" t="s">
        <v>152</v>
      </c>
      <c r="F4" s="1" t="s">
        <v>153</v>
      </c>
      <c r="G4" s="1" t="s">
        <v>154</v>
      </c>
      <c r="H4" s="1" t="s">
        <v>19</v>
      </c>
      <c r="I4" s="1" t="s">
        <v>13</v>
      </c>
    </row>
    <row r="5">
      <c r="A5" s="1"/>
      <c r="B5" s="1" t="s">
        <v>155</v>
      </c>
      <c r="C5" s="1" t="s">
        <v>142</v>
      </c>
      <c r="D5" s="12" t="s">
        <v>156</v>
      </c>
      <c r="E5" s="1" t="s">
        <v>147</v>
      </c>
      <c r="F5" s="1" t="s">
        <v>147</v>
      </c>
      <c r="G5" s="1" t="s">
        <v>157</v>
      </c>
      <c r="H5" s="1" t="s">
        <v>158</v>
      </c>
      <c r="I5" s="1" t="s">
        <v>159</v>
      </c>
    </row>
    <row r="6">
      <c r="A6" s="1"/>
      <c r="B6" s="1" t="s">
        <v>160</v>
      </c>
      <c r="C6" s="1" t="s">
        <v>142</v>
      </c>
      <c r="D6" s="12" t="s">
        <v>161</v>
      </c>
      <c r="E6" s="1" t="s">
        <v>162</v>
      </c>
      <c r="F6" s="1" t="s">
        <v>162</v>
      </c>
      <c r="G6" s="1" t="s">
        <v>163</v>
      </c>
      <c r="H6" s="1" t="s">
        <v>164</v>
      </c>
      <c r="I6" s="1" t="s">
        <v>165</v>
      </c>
    </row>
    <row r="7">
      <c r="A7" s="1"/>
      <c r="B7" s="1" t="s">
        <v>166</v>
      </c>
      <c r="C7" s="1" t="s">
        <v>142</v>
      </c>
      <c r="D7" s="12" t="s">
        <v>167</v>
      </c>
      <c r="E7" s="1" t="s">
        <v>168</v>
      </c>
      <c r="F7" s="1" t="s">
        <v>169</v>
      </c>
      <c r="G7" s="1" t="s">
        <v>170</v>
      </c>
      <c r="H7" s="1" t="s">
        <v>171</v>
      </c>
      <c r="I7" s="1" t="s">
        <v>172</v>
      </c>
    </row>
    <row r="8">
      <c r="A8" s="1"/>
      <c r="B8" s="1" t="s">
        <v>173</v>
      </c>
      <c r="C8" s="1" t="s">
        <v>142</v>
      </c>
      <c r="D8" s="12" t="s">
        <v>121</v>
      </c>
      <c r="E8" s="1" t="s">
        <v>144</v>
      </c>
      <c r="F8" s="1" t="s">
        <v>174</v>
      </c>
      <c r="G8" s="1" t="s">
        <v>175</v>
      </c>
      <c r="H8" s="1"/>
      <c r="I8" s="1" t="s">
        <v>19</v>
      </c>
    </row>
    <row r="9">
      <c r="A9" s="1"/>
      <c r="B9" s="1" t="s">
        <v>176</v>
      </c>
      <c r="C9" s="1" t="s">
        <v>142</v>
      </c>
      <c r="D9" s="12" t="s">
        <v>177</v>
      </c>
      <c r="E9" s="1" t="s">
        <v>178</v>
      </c>
      <c r="F9" s="1" t="s">
        <v>179</v>
      </c>
      <c r="G9" s="1" t="s">
        <v>17</v>
      </c>
      <c r="H9" s="1"/>
      <c r="I9" s="1" t="s">
        <v>17</v>
      </c>
    </row>
    <row r="10" ht="15.0" customHeight="1">
      <c r="A10" s="1"/>
      <c r="B10" s="1" t="s">
        <v>180</v>
      </c>
      <c r="C10" s="1" t="s">
        <v>142</v>
      </c>
      <c r="D10" s="12" t="s">
        <v>181</v>
      </c>
      <c r="E10" s="1" t="s">
        <v>144</v>
      </c>
      <c r="F10" s="14" t="s">
        <v>144</v>
      </c>
      <c r="G10" s="13"/>
      <c r="H10" s="1"/>
      <c r="I10" s="1" t="s">
        <v>18</v>
      </c>
    </row>
    <row r="11">
      <c r="A11" s="1"/>
      <c r="B11" s="1" t="s">
        <v>182</v>
      </c>
      <c r="C11" s="1" t="s">
        <v>142</v>
      </c>
      <c r="D11" s="12" t="s">
        <v>183</v>
      </c>
      <c r="E11" s="1" t="s">
        <v>184</v>
      </c>
      <c r="F11" s="12" t="s">
        <v>184</v>
      </c>
      <c r="G11" s="12" t="s">
        <v>185</v>
      </c>
      <c r="H11" s="12" t="s">
        <v>186</v>
      </c>
      <c r="I11" s="1" t="s">
        <v>187</v>
      </c>
    </row>
    <row r="12">
      <c r="B12" s="1" t="s">
        <v>188</v>
      </c>
      <c r="D12" s="15"/>
      <c r="F12" s="1" t="s">
        <v>144</v>
      </c>
      <c r="G12" s="1" t="s">
        <v>17</v>
      </c>
      <c r="H12" s="1"/>
      <c r="I12" s="1" t="s">
        <v>189</v>
      </c>
    </row>
    <row r="13">
      <c r="B13" s="1" t="s">
        <v>190</v>
      </c>
      <c r="D13" s="15"/>
      <c r="F13" s="1" t="s">
        <v>144</v>
      </c>
      <c r="G13" s="1" t="s">
        <v>20</v>
      </c>
      <c r="H13" s="1"/>
      <c r="I13" s="1" t="s">
        <v>189</v>
      </c>
    </row>
    <row r="14">
      <c r="A14" s="1"/>
      <c r="B14" s="1"/>
      <c r="C14" s="1"/>
      <c r="D14" s="12"/>
      <c r="E14" s="1"/>
      <c r="H14" s="1"/>
      <c r="I14" s="1"/>
    </row>
    <row r="15">
      <c r="A15" s="1">
        <v>1.0</v>
      </c>
      <c r="B15" s="1" t="s">
        <v>191</v>
      </c>
      <c r="C15" s="1" t="s">
        <v>192</v>
      </c>
      <c r="D15" s="12" t="s">
        <v>193</v>
      </c>
      <c r="E15" s="1" t="s">
        <v>147</v>
      </c>
      <c r="F15" s="1" t="s">
        <v>147</v>
      </c>
      <c r="G15" s="1" t="s">
        <v>14</v>
      </c>
      <c r="H15" s="1"/>
      <c r="I15" s="1" t="s">
        <v>14</v>
      </c>
    </row>
    <row r="16">
      <c r="A16" s="1"/>
      <c r="B16" s="16" t="s">
        <v>194</v>
      </c>
      <c r="C16" s="1" t="s">
        <v>192</v>
      </c>
      <c r="D16" s="12" t="s">
        <v>193</v>
      </c>
      <c r="E16" s="1" t="s">
        <v>144</v>
      </c>
      <c r="F16" s="13"/>
      <c r="G16" s="13"/>
      <c r="H16" s="1"/>
      <c r="I16" s="1" t="s">
        <v>11</v>
      </c>
    </row>
    <row r="17">
      <c r="A17" s="17"/>
      <c r="B17" s="17" t="s">
        <v>195</v>
      </c>
      <c r="C17" s="1" t="s">
        <v>192</v>
      </c>
      <c r="D17" s="12" t="s">
        <v>193</v>
      </c>
      <c r="E17" s="1" t="s">
        <v>144</v>
      </c>
      <c r="G17" s="1" t="s">
        <v>41</v>
      </c>
      <c r="H17" s="1"/>
      <c r="I17" s="1" t="s">
        <v>41</v>
      </c>
    </row>
    <row r="18">
      <c r="A18" s="1">
        <v>6.0</v>
      </c>
      <c r="B18" s="1" t="s">
        <v>196</v>
      </c>
      <c r="C18" s="1" t="s">
        <v>192</v>
      </c>
      <c r="D18" s="12" t="s">
        <v>193</v>
      </c>
      <c r="E18" s="1" t="s">
        <v>144</v>
      </c>
      <c r="F18" s="1" t="s">
        <v>144</v>
      </c>
      <c r="G18" s="1" t="s">
        <v>20</v>
      </c>
      <c r="H18" s="1"/>
      <c r="I18" s="1" t="s">
        <v>13</v>
      </c>
    </row>
    <row r="19">
      <c r="A19" s="1">
        <v>4.0</v>
      </c>
      <c r="B19" s="1" t="s">
        <v>197</v>
      </c>
      <c r="C19" s="1" t="s">
        <v>192</v>
      </c>
      <c r="D19" s="12" t="s">
        <v>198</v>
      </c>
      <c r="E19" s="1" t="s">
        <v>144</v>
      </c>
      <c r="F19" s="1" t="s">
        <v>144</v>
      </c>
      <c r="G19" s="1" t="s">
        <v>16</v>
      </c>
      <c r="H19" s="1"/>
      <c r="I19" s="1" t="s">
        <v>16</v>
      </c>
    </row>
    <row r="20">
      <c r="A20" s="1"/>
      <c r="B20" s="16" t="s">
        <v>199</v>
      </c>
      <c r="C20" s="1" t="s">
        <v>192</v>
      </c>
      <c r="D20" s="12"/>
      <c r="E20" s="1" t="s">
        <v>144</v>
      </c>
      <c r="F20" s="13"/>
      <c r="G20" s="13"/>
      <c r="H20" s="1"/>
      <c r="I20" s="1" t="s">
        <v>9</v>
      </c>
    </row>
    <row r="21">
      <c r="A21" s="1">
        <v>7.0</v>
      </c>
      <c r="B21" s="1" t="s">
        <v>200</v>
      </c>
      <c r="C21" s="1" t="s">
        <v>192</v>
      </c>
      <c r="D21" s="12" t="s">
        <v>201</v>
      </c>
      <c r="E21" s="1" t="s">
        <v>147</v>
      </c>
      <c r="F21" s="1" t="s">
        <v>147</v>
      </c>
      <c r="G21" s="1" t="s">
        <v>14</v>
      </c>
      <c r="H21" s="1"/>
      <c r="I21" s="1" t="s">
        <v>35</v>
      </c>
    </row>
    <row r="22">
      <c r="A22" s="1">
        <v>8.0</v>
      </c>
      <c r="B22" s="1" t="s">
        <v>202</v>
      </c>
      <c r="C22" s="1" t="s">
        <v>192</v>
      </c>
      <c r="D22" s="12" t="s">
        <v>203</v>
      </c>
      <c r="E22" s="1" t="s">
        <v>204</v>
      </c>
      <c r="F22" s="1" t="s">
        <v>205</v>
      </c>
      <c r="G22" s="1" t="s">
        <v>15</v>
      </c>
      <c r="H22" s="1"/>
      <c r="I22" s="1" t="s">
        <v>15</v>
      </c>
    </row>
    <row r="23">
      <c r="A23" s="1">
        <v>3.0</v>
      </c>
      <c r="B23" s="1" t="s">
        <v>206</v>
      </c>
      <c r="C23" s="1" t="s">
        <v>192</v>
      </c>
      <c r="D23" s="12" t="s">
        <v>207</v>
      </c>
      <c r="E23" s="1" t="s">
        <v>147</v>
      </c>
      <c r="F23" s="1" t="s">
        <v>147</v>
      </c>
      <c r="G23" s="1" t="s">
        <v>9</v>
      </c>
      <c r="H23" s="1"/>
      <c r="I23" s="1" t="s">
        <v>9</v>
      </c>
    </row>
    <row r="24">
      <c r="A24" s="1">
        <v>5.0</v>
      </c>
      <c r="B24" s="1" t="s">
        <v>208</v>
      </c>
      <c r="C24" s="1" t="s">
        <v>192</v>
      </c>
      <c r="D24" s="12" t="s">
        <v>209</v>
      </c>
      <c r="E24" s="1" t="s">
        <v>144</v>
      </c>
      <c r="F24" s="1" t="s">
        <v>144</v>
      </c>
      <c r="G24" s="1" t="s">
        <v>19</v>
      </c>
      <c r="H24" s="1"/>
      <c r="I24" s="1" t="s">
        <v>19</v>
      </c>
    </row>
    <row r="25">
      <c r="A25" s="1">
        <v>10.0</v>
      </c>
      <c r="B25" s="1" t="s">
        <v>210</v>
      </c>
      <c r="C25" s="1" t="s">
        <v>192</v>
      </c>
      <c r="D25" s="12" t="s">
        <v>193</v>
      </c>
      <c r="E25" s="1" t="s">
        <v>144</v>
      </c>
      <c r="F25" s="1" t="s">
        <v>144</v>
      </c>
      <c r="G25" s="1" t="s">
        <v>8</v>
      </c>
      <c r="H25" s="1"/>
      <c r="I25" s="1" t="s">
        <v>21</v>
      </c>
    </row>
    <row r="26">
      <c r="A26" s="1">
        <v>2.0</v>
      </c>
      <c r="B26" s="1" t="s">
        <v>211</v>
      </c>
      <c r="C26" s="1" t="s">
        <v>192</v>
      </c>
      <c r="D26" s="12" t="s">
        <v>212</v>
      </c>
      <c r="E26" s="1" t="s">
        <v>144</v>
      </c>
      <c r="F26" s="1" t="s">
        <v>147</v>
      </c>
      <c r="G26" s="1" t="s">
        <v>18</v>
      </c>
      <c r="H26" s="1"/>
      <c r="I26" s="1" t="s">
        <v>15</v>
      </c>
    </row>
    <row r="27">
      <c r="A27" s="1"/>
      <c r="B27" s="1" t="s">
        <v>213</v>
      </c>
      <c r="C27" s="1" t="s">
        <v>192</v>
      </c>
      <c r="D27" s="12" t="s">
        <v>214</v>
      </c>
      <c r="E27" s="1" t="s">
        <v>215</v>
      </c>
      <c r="F27" s="1" t="s">
        <v>215</v>
      </c>
      <c r="G27" s="1" t="s">
        <v>11</v>
      </c>
      <c r="H27" s="1"/>
      <c r="I27" s="1" t="s">
        <v>17</v>
      </c>
    </row>
    <row r="28">
      <c r="A28" s="1"/>
      <c r="B28" s="16" t="s">
        <v>216</v>
      </c>
      <c r="C28" s="1" t="s">
        <v>192</v>
      </c>
      <c r="D28" s="12" t="s">
        <v>193</v>
      </c>
      <c r="E28" s="1" t="s">
        <v>144</v>
      </c>
      <c r="F28" s="13"/>
      <c r="G28" s="13"/>
      <c r="H28" s="1"/>
      <c r="I28" s="1" t="s">
        <v>85</v>
      </c>
    </row>
    <row r="29">
      <c r="A29" s="1">
        <v>9.0</v>
      </c>
      <c r="B29" s="1" t="s">
        <v>217</v>
      </c>
      <c r="C29" s="1" t="s">
        <v>192</v>
      </c>
      <c r="D29" s="12" t="s">
        <v>193</v>
      </c>
      <c r="E29" s="1" t="s">
        <v>144</v>
      </c>
      <c r="F29" s="1" t="s">
        <v>144</v>
      </c>
      <c r="G29" s="1" t="s">
        <v>17</v>
      </c>
      <c r="H29" s="1"/>
      <c r="I29" s="1" t="s">
        <v>35</v>
      </c>
    </row>
    <row r="30">
      <c r="A30" s="1">
        <v>11.0</v>
      </c>
      <c r="B30" s="1" t="s">
        <v>218</v>
      </c>
      <c r="C30" s="1" t="s">
        <v>192</v>
      </c>
      <c r="D30" s="12" t="s">
        <v>219</v>
      </c>
      <c r="E30" s="1" t="s">
        <v>144</v>
      </c>
      <c r="F30" s="1" t="s">
        <v>144</v>
      </c>
      <c r="G30" s="1" t="s">
        <v>19</v>
      </c>
      <c r="H30" s="1"/>
      <c r="I30" s="1" t="s">
        <v>189</v>
      </c>
    </row>
    <row r="31">
      <c r="A31" s="1"/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  <row r="1003">
      <c r="D1003" s="15"/>
    </row>
    <row r="1004">
      <c r="D1004" s="15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222</v>
      </c>
    </row>
    <row r="2">
      <c r="A2" s="1" t="s">
        <v>223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224</v>
      </c>
    </row>
    <row r="2">
      <c r="A2" s="1" t="s">
        <v>14</v>
      </c>
      <c r="B2" s="1" t="s">
        <v>9</v>
      </c>
      <c r="C2" s="3">
        <v>20.0</v>
      </c>
    </row>
    <row r="3">
      <c r="A3" s="1" t="s">
        <v>14</v>
      </c>
      <c r="B3" s="1" t="s">
        <v>15</v>
      </c>
      <c r="C3" s="3">
        <v>17.0</v>
      </c>
    </row>
    <row r="4">
      <c r="A4" s="1" t="s">
        <v>18</v>
      </c>
      <c r="B4" s="1" t="s">
        <v>19</v>
      </c>
      <c r="C4" s="3">
        <v>17.0</v>
      </c>
    </row>
    <row r="5">
      <c r="A5" s="1" t="s">
        <v>11</v>
      </c>
      <c r="B5" s="1" t="s">
        <v>15</v>
      </c>
      <c r="C5" s="3">
        <v>17.0</v>
      </c>
    </row>
    <row r="6">
      <c r="A6" s="1" t="s">
        <v>8</v>
      </c>
      <c r="B6" s="1" t="s">
        <v>21</v>
      </c>
      <c r="C6" s="3">
        <v>16.0</v>
      </c>
    </row>
    <row r="7">
      <c r="A7" s="1" t="s">
        <v>8</v>
      </c>
      <c r="B7" s="1" t="s">
        <v>14</v>
      </c>
      <c r="C7" s="3">
        <v>16.0</v>
      </c>
    </row>
    <row r="8">
      <c r="A8" s="1" t="s">
        <v>18</v>
      </c>
      <c r="B8" s="1" t="s">
        <v>8</v>
      </c>
      <c r="C8" s="3">
        <v>16.0</v>
      </c>
    </row>
    <row r="9">
      <c r="A9" s="1" t="s">
        <v>19</v>
      </c>
      <c r="B9" s="1" t="s">
        <v>14</v>
      </c>
      <c r="C9" s="3">
        <v>15.0</v>
      </c>
    </row>
    <row r="10">
      <c r="A10" s="1" t="s">
        <v>14</v>
      </c>
      <c r="B10" s="1" t="s">
        <v>16</v>
      </c>
      <c r="C10" s="3">
        <v>15.0</v>
      </c>
    </row>
    <row r="11">
      <c r="A11" s="1" t="s">
        <v>21</v>
      </c>
      <c r="B11" s="1" t="s">
        <v>15</v>
      </c>
      <c r="C11" s="3">
        <v>14.0</v>
      </c>
    </row>
    <row r="12">
      <c r="A12" s="1" t="s">
        <v>8</v>
      </c>
      <c r="B12" s="1" t="s">
        <v>13</v>
      </c>
      <c r="C12" s="3">
        <v>14.0</v>
      </c>
    </row>
    <row r="13">
      <c r="A13" s="1" t="s">
        <v>18</v>
      </c>
      <c r="B13" s="1" t="s">
        <v>14</v>
      </c>
      <c r="C13" s="3">
        <v>14.0</v>
      </c>
    </row>
    <row r="14">
      <c r="A14" s="1" t="s">
        <v>8</v>
      </c>
      <c r="B14" s="1" t="s">
        <v>19</v>
      </c>
      <c r="C14" s="3">
        <v>14.0</v>
      </c>
    </row>
    <row r="15">
      <c r="A15" s="1" t="s">
        <v>8</v>
      </c>
      <c r="B15" s="1" t="s">
        <v>16</v>
      </c>
      <c r="C15" s="3">
        <v>14.0</v>
      </c>
    </row>
    <row r="16">
      <c r="A16" s="1" t="s">
        <v>18</v>
      </c>
      <c r="B16" s="1" t="s">
        <v>11</v>
      </c>
      <c r="C16" s="3">
        <v>14.0</v>
      </c>
    </row>
    <row r="17">
      <c r="A17" s="1" t="s">
        <v>17</v>
      </c>
      <c r="B17" s="1" t="s">
        <v>16</v>
      </c>
      <c r="C17" s="3">
        <v>14.0</v>
      </c>
    </row>
    <row r="18">
      <c r="A18" s="1" t="s">
        <v>17</v>
      </c>
      <c r="B18" s="1" t="s">
        <v>21</v>
      </c>
      <c r="C18" s="3">
        <v>13.0</v>
      </c>
    </row>
    <row r="19">
      <c r="A19" s="1" t="s">
        <v>18</v>
      </c>
      <c r="B19" s="1" t="s">
        <v>15</v>
      </c>
      <c r="C19" s="3">
        <v>13.0</v>
      </c>
    </row>
    <row r="20">
      <c r="A20" s="1" t="s">
        <v>18</v>
      </c>
      <c r="B20" s="1" t="s">
        <v>16</v>
      </c>
      <c r="C20" s="3">
        <v>13.0</v>
      </c>
    </row>
    <row r="21">
      <c r="A21" s="1" t="s">
        <v>13</v>
      </c>
      <c r="B21" s="1" t="s">
        <v>15</v>
      </c>
      <c r="C21" s="3">
        <v>13.0</v>
      </c>
    </row>
    <row r="22">
      <c r="A22" s="1" t="s">
        <v>13</v>
      </c>
      <c r="B22" s="1" t="s">
        <v>19</v>
      </c>
      <c r="C22" s="3">
        <v>13.0</v>
      </c>
    </row>
    <row r="23">
      <c r="A23" s="1" t="s">
        <v>13</v>
      </c>
      <c r="B23" s="1" t="s">
        <v>9</v>
      </c>
      <c r="C23" s="3">
        <v>13.0</v>
      </c>
    </row>
    <row r="24">
      <c r="A24" s="1" t="s">
        <v>11</v>
      </c>
      <c r="B24" s="1" t="s">
        <v>14</v>
      </c>
      <c r="C24" s="3">
        <v>13.0</v>
      </c>
    </row>
    <row r="25">
      <c r="A25" s="1" t="s">
        <v>16</v>
      </c>
      <c r="B25" s="1" t="s">
        <v>9</v>
      </c>
      <c r="C25" s="3">
        <v>13.0</v>
      </c>
    </row>
    <row r="26">
      <c r="A26" s="1" t="s">
        <v>11</v>
      </c>
      <c r="B26" s="1" t="s">
        <v>16</v>
      </c>
      <c r="C26" s="3">
        <v>13.0</v>
      </c>
    </row>
    <row r="27">
      <c r="A27" s="1" t="s">
        <v>8</v>
      </c>
      <c r="B27" s="1" t="s">
        <v>20</v>
      </c>
      <c r="C27" s="3">
        <v>13.0</v>
      </c>
    </row>
    <row r="28">
      <c r="A28" s="1" t="s">
        <v>21</v>
      </c>
      <c r="B28" s="1" t="s">
        <v>9</v>
      </c>
      <c r="C28" s="3">
        <v>12.0</v>
      </c>
    </row>
    <row r="29">
      <c r="A29" s="1" t="s">
        <v>21</v>
      </c>
      <c r="B29" s="1" t="s">
        <v>16</v>
      </c>
      <c r="C29" s="3">
        <v>12.0</v>
      </c>
    </row>
    <row r="30">
      <c r="A30" s="1" t="s">
        <v>18</v>
      </c>
      <c r="B30" s="1" t="s">
        <v>9</v>
      </c>
      <c r="C30" s="3">
        <v>12.0</v>
      </c>
    </row>
    <row r="31">
      <c r="A31" s="1" t="s">
        <v>13</v>
      </c>
      <c r="B31" s="1" t="s">
        <v>16</v>
      </c>
      <c r="C31" s="3">
        <v>12.0</v>
      </c>
    </row>
    <row r="32">
      <c r="A32" s="1" t="s">
        <v>19</v>
      </c>
      <c r="B32" s="1" t="s">
        <v>9</v>
      </c>
      <c r="C32" s="3">
        <v>12.0</v>
      </c>
    </row>
    <row r="33">
      <c r="A33" s="1" t="s">
        <v>17</v>
      </c>
      <c r="B33" s="1" t="s">
        <v>9</v>
      </c>
      <c r="C33" s="3">
        <v>12.0</v>
      </c>
    </row>
    <row r="34">
      <c r="A34" s="1" t="s">
        <v>14</v>
      </c>
      <c r="B34" s="1" t="s">
        <v>20</v>
      </c>
      <c r="C34" s="3">
        <v>12.0</v>
      </c>
    </row>
    <row r="35">
      <c r="A35" s="1" t="s">
        <v>8</v>
      </c>
      <c r="B35" s="1" t="s">
        <v>15</v>
      </c>
      <c r="C35" s="3">
        <v>12.0</v>
      </c>
    </row>
    <row r="36">
      <c r="A36" s="1" t="s">
        <v>17</v>
      </c>
      <c r="B36" s="1" t="s">
        <v>8</v>
      </c>
      <c r="C36" s="3">
        <v>12.0</v>
      </c>
    </row>
    <row r="37">
      <c r="A37" s="1" t="s">
        <v>16</v>
      </c>
      <c r="B37" s="1" t="s">
        <v>15</v>
      </c>
      <c r="C37" s="3">
        <v>12.0</v>
      </c>
    </row>
    <row r="38">
      <c r="A38" s="1" t="s">
        <v>16</v>
      </c>
      <c r="B38" s="1" t="s">
        <v>20</v>
      </c>
      <c r="C38" s="3">
        <v>12.0</v>
      </c>
    </row>
    <row r="39">
      <c r="A39" s="1" t="s">
        <v>17</v>
      </c>
      <c r="B39" s="1" t="s">
        <v>15</v>
      </c>
      <c r="C39" s="3">
        <v>12.0</v>
      </c>
    </row>
    <row r="40">
      <c r="A40" s="1" t="s">
        <v>11</v>
      </c>
      <c r="B40" s="1" t="s">
        <v>20</v>
      </c>
      <c r="C40" s="3">
        <v>12.0</v>
      </c>
    </row>
    <row r="41">
      <c r="A41" s="1" t="s">
        <v>19</v>
      </c>
      <c r="B41" s="1" t="s">
        <v>16</v>
      </c>
      <c r="C41" s="3">
        <v>12.0</v>
      </c>
    </row>
    <row r="42">
      <c r="A42" s="1" t="s">
        <v>18</v>
      </c>
      <c r="B42" s="1" t="s">
        <v>17</v>
      </c>
      <c r="C42" s="3">
        <v>11.0</v>
      </c>
    </row>
    <row r="43">
      <c r="A43" s="1" t="s">
        <v>15</v>
      </c>
      <c r="B43" s="1" t="s">
        <v>9</v>
      </c>
      <c r="C43" s="3">
        <v>11.0</v>
      </c>
    </row>
    <row r="44">
      <c r="A44" s="1" t="s">
        <v>21</v>
      </c>
      <c r="B44" s="1" t="s">
        <v>20</v>
      </c>
      <c r="C44" s="3">
        <v>11.0</v>
      </c>
    </row>
    <row r="45">
      <c r="A45" s="1" t="s">
        <v>8</v>
      </c>
      <c r="B45" s="1" t="s">
        <v>9</v>
      </c>
      <c r="C45" s="3">
        <v>11.0</v>
      </c>
    </row>
    <row r="46">
      <c r="A46" s="1" t="s">
        <v>17</v>
      </c>
      <c r="B46" s="1" t="s">
        <v>19</v>
      </c>
      <c r="C46" s="3">
        <v>11.0</v>
      </c>
    </row>
    <row r="47">
      <c r="A47" s="1" t="s">
        <v>8</v>
      </c>
      <c r="B47" s="1" t="s">
        <v>24</v>
      </c>
      <c r="C47" s="3">
        <v>10.0</v>
      </c>
    </row>
    <row r="48">
      <c r="A48" s="1" t="s">
        <v>17</v>
      </c>
      <c r="B48" s="1" t="s">
        <v>13</v>
      </c>
      <c r="C48" s="3">
        <v>10.0</v>
      </c>
    </row>
    <row r="49">
      <c r="A49" s="1" t="s">
        <v>21</v>
      </c>
      <c r="B49" s="1" t="s">
        <v>14</v>
      </c>
      <c r="C49" s="3">
        <v>10.0</v>
      </c>
    </row>
    <row r="50">
      <c r="A50" s="1" t="s">
        <v>11</v>
      </c>
      <c r="B50" s="1" t="s">
        <v>19</v>
      </c>
      <c r="C50" s="3">
        <v>10.0</v>
      </c>
    </row>
    <row r="51">
      <c r="A51" s="1" t="s">
        <v>11</v>
      </c>
      <c r="B51" s="1" t="s">
        <v>13</v>
      </c>
      <c r="C51" s="3">
        <v>10.0</v>
      </c>
    </row>
    <row r="52">
      <c r="A52" s="1" t="s">
        <v>18</v>
      </c>
      <c r="B52" s="1" t="s">
        <v>21</v>
      </c>
      <c r="C52" s="3">
        <v>10.0</v>
      </c>
    </row>
    <row r="53">
      <c r="A53" s="1" t="s">
        <v>11</v>
      </c>
      <c r="B53" s="1" t="s">
        <v>9</v>
      </c>
      <c r="C53" s="3">
        <v>10.0</v>
      </c>
    </row>
    <row r="54">
      <c r="A54" s="1" t="s">
        <v>11</v>
      </c>
      <c r="B54" s="1" t="s">
        <v>21</v>
      </c>
      <c r="C54" s="3">
        <v>10.0</v>
      </c>
    </row>
    <row r="55">
      <c r="A55" s="1" t="s">
        <v>19</v>
      </c>
      <c r="B55" s="1" t="s">
        <v>15</v>
      </c>
      <c r="C55" s="3">
        <v>10.0</v>
      </c>
    </row>
    <row r="56">
      <c r="A56" s="1" t="s">
        <v>24</v>
      </c>
      <c r="B56" s="1" t="s">
        <v>9</v>
      </c>
      <c r="C56" s="3">
        <v>9.0</v>
      </c>
    </row>
    <row r="57">
      <c r="A57" s="1" t="s">
        <v>18</v>
      </c>
      <c r="B57" s="1" t="s">
        <v>13</v>
      </c>
      <c r="C57" s="3">
        <v>9.0</v>
      </c>
    </row>
    <row r="58">
      <c r="A58" s="1" t="s">
        <v>20</v>
      </c>
      <c r="B58" s="1" t="s">
        <v>15</v>
      </c>
      <c r="C58" s="3">
        <v>9.0</v>
      </c>
    </row>
    <row r="59">
      <c r="A59" s="1" t="s">
        <v>17</v>
      </c>
      <c r="B59" s="1" t="s">
        <v>20</v>
      </c>
      <c r="C59" s="3">
        <v>9.0</v>
      </c>
    </row>
    <row r="60">
      <c r="A60" s="1" t="s">
        <v>11</v>
      </c>
      <c r="B60" s="1" t="s">
        <v>8</v>
      </c>
      <c r="C60" s="3">
        <v>9.0</v>
      </c>
    </row>
    <row r="61">
      <c r="A61" s="1" t="s">
        <v>20</v>
      </c>
      <c r="B61" s="1" t="s">
        <v>9</v>
      </c>
      <c r="C61" s="3">
        <v>9.0</v>
      </c>
    </row>
    <row r="62">
      <c r="A62" s="1" t="s">
        <v>17</v>
      </c>
      <c r="B62" s="1" t="s">
        <v>14</v>
      </c>
      <c r="C62" s="3">
        <v>8.0</v>
      </c>
    </row>
    <row r="63">
      <c r="A63" s="1" t="s">
        <v>24</v>
      </c>
      <c r="B63" s="1" t="s">
        <v>15</v>
      </c>
      <c r="C63" s="3">
        <v>8.0</v>
      </c>
    </row>
    <row r="64">
      <c r="A64" s="1" t="s">
        <v>18</v>
      </c>
      <c r="B64" s="1" t="s">
        <v>20</v>
      </c>
      <c r="C64" s="3">
        <v>8.0</v>
      </c>
    </row>
    <row r="65">
      <c r="A65" s="1" t="s">
        <v>27</v>
      </c>
      <c r="B65" s="1" t="s">
        <v>13</v>
      </c>
      <c r="C65" s="3">
        <v>8.0</v>
      </c>
    </row>
  </sheetData>
  <drawing r:id="rId1"/>
</worksheet>
</file>