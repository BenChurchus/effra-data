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GW1" sheetId="2" r:id="rId6"/>
    <sheet state="visible" name="GW2" sheetId="3" r:id="rId7"/>
    <sheet state="visible" name="GW3" sheetId="4" r:id="rId8"/>
    <sheet state="visible" name="GW4" sheetId="5" r:id="rId9"/>
    <sheet state="visible" name="GW5" sheetId="6" r:id="rId10"/>
    <sheet state="visible" name="GW6" sheetId="7" r:id="rId11"/>
    <sheet state="visible" name="GW7" sheetId="8" r:id="rId12"/>
    <sheet state="visible" name="GW8" sheetId="9" r:id="rId13"/>
    <sheet state="visible" name="GW9" sheetId="10" r:id="rId14"/>
    <sheet state="visible" name="GW10" sheetId="11" r:id="rId15"/>
    <sheet state="visible" name="GW11" sheetId="12" r:id="rId16"/>
    <sheet state="visible" name="GW12" sheetId="13" r:id="rId17"/>
    <sheet state="visible" name="GW13" sheetId="14" r:id="rId18"/>
    <sheet state="visible" name="GW14" sheetId="15" r:id="rId19"/>
    <sheet state="visible" name="GW15" sheetId="16" r:id="rId20"/>
    <sheet state="visible" name="GW16" sheetId="17" r:id="rId21"/>
    <sheet state="visible" name="GW17" sheetId="18" r:id="rId22"/>
    <sheet state="visible" name="GW18" sheetId="19" r:id="rId23"/>
    <sheet state="visible" name="GW19" sheetId="20" r:id="rId24"/>
    <sheet state="visible" name="GW20" sheetId="21" r:id="rId25"/>
    <sheet state="visible" name="GW21" sheetId="22" r:id="rId26"/>
    <sheet state="visible" name="GW22" sheetId="23" r:id="rId27"/>
    <sheet state="visible" name="GW23" sheetId="24" r:id="rId28"/>
    <sheet state="visible" name="GW24" sheetId="25" r:id="rId29"/>
    <sheet state="visible" name="GW25" sheetId="26" r:id="rId30"/>
    <sheet state="visible" name="GW26" sheetId="27" r:id="rId31"/>
    <sheet state="visible" name="GW27" sheetId="28" r:id="rId32"/>
    <sheet state="visible" name="GW28" sheetId="29" r:id="rId33"/>
    <sheet state="visible" name="GW29" sheetId="30" r:id="rId34"/>
    <sheet state="visible" name="GW30" sheetId="31" r:id="rId35"/>
    <sheet state="visible" name="GW31" sheetId="32" r:id="rId36"/>
    <sheet state="visible" name="GW32" sheetId="33" r:id="rId37"/>
    <sheet state="visible" name="GW33" sheetId="34" r:id="rId38"/>
    <sheet state="visible" name="GW34" sheetId="35" r:id="rId39"/>
    <sheet state="visible" name="GW35" sheetId="36" r:id="rId40"/>
    <sheet state="visible" name="GW36" sheetId="37" r:id="rId41"/>
    <sheet state="visible" name="GW37" sheetId="38" r:id="rId42"/>
    <sheet state="visible" name="GW38" sheetId="39" r:id="rId43"/>
    <sheet state="visible" name="GW39" sheetId="40" r:id="rId44"/>
    <sheet state="visible" name="GW40" sheetId="41" r:id="rId45"/>
    <sheet state="visible" name="GW41" sheetId="42" r:id="rId46"/>
    <sheet state="visible" name="GW42" sheetId="43" r:id="rId47"/>
    <sheet state="visible" name="GW43" sheetId="44" r:id="rId48"/>
    <sheet state="visible" name="Captaincy" sheetId="45" r:id="rId49"/>
    <sheet state="visible" name="Analysis Tab" sheetId="46" r:id="rId50"/>
    <sheet state="visible" name="Apps" sheetId="47" r:id="rId51"/>
    <sheet state="visible" name="Awards" sheetId="48" r:id="rId52"/>
  </sheets>
  <definedNames>
    <definedName hidden="1" localSheetId="46" name="_xlnm._FilterDatabase">Apps!$A$1:$AA$35</definedName>
    <definedName hidden="1" localSheetId="45" name="Z_4B233955_0BA4_4565_99D1_AC4F54DA13C0_.wvu.FilterData">'Analysis Tab'!$A$1:$V$35</definedName>
  </definedNames>
  <calcPr/>
  <customWorkbookViews>
    <customWorkbookView activeSheetId="0" maximized="1" windowHeight="0" windowWidth="0" guid="{4B233955-0BA4-4565-99D1-AC4F54DA13C0}" name="Effra View"/>
  </customWorkbookViews>
</workbook>
</file>

<file path=xl/sharedStrings.xml><?xml version="1.0" encoding="utf-8"?>
<sst xmlns="http://schemas.openxmlformats.org/spreadsheetml/2006/main" count="1498" uniqueCount="197">
  <si>
    <t>GW2</t>
  </si>
  <si>
    <t>GW1</t>
  </si>
  <si>
    <t>GW(N)</t>
  </si>
  <si>
    <t>Team1</t>
  </si>
  <si>
    <t>(C)</t>
  </si>
  <si>
    <t>Goals</t>
  </si>
  <si>
    <t>Assists</t>
  </si>
  <si>
    <t>CS</t>
  </si>
  <si>
    <t>Team 2</t>
  </si>
  <si>
    <t>GW3</t>
  </si>
  <si>
    <t>Char</t>
  </si>
  <si>
    <t>Nairn</t>
  </si>
  <si>
    <t>Jez</t>
  </si>
  <si>
    <t>Y</t>
  </si>
  <si>
    <t>Ram</t>
  </si>
  <si>
    <t>JPH</t>
  </si>
  <si>
    <t>Joe</t>
  </si>
  <si>
    <t>Dave</t>
  </si>
  <si>
    <t>Harry</t>
  </si>
  <si>
    <t>Kempy</t>
  </si>
  <si>
    <t>Will Mac</t>
  </si>
  <si>
    <t>Dan</t>
  </si>
  <si>
    <t>Gman</t>
  </si>
  <si>
    <t>LG</t>
  </si>
  <si>
    <t>Jamal</t>
  </si>
  <si>
    <t>Nik</t>
  </si>
  <si>
    <t>Score</t>
  </si>
  <si>
    <t>Bill</t>
  </si>
  <si>
    <t>Brixton</t>
  </si>
  <si>
    <t>OG</t>
  </si>
  <si>
    <t>VENUE</t>
  </si>
  <si>
    <t>Mile End</t>
  </si>
  <si>
    <t>GW4</t>
  </si>
  <si>
    <t>Jan</t>
  </si>
  <si>
    <t>GW5</t>
  </si>
  <si>
    <t>Leo</t>
  </si>
  <si>
    <t>GW6</t>
  </si>
  <si>
    <t>Stockwell</t>
  </si>
  <si>
    <t>Jacob</t>
  </si>
  <si>
    <t>GW7</t>
  </si>
  <si>
    <t>Jay</t>
  </si>
  <si>
    <t>GW8</t>
  </si>
  <si>
    <t>GW9</t>
  </si>
  <si>
    <t>Crell</t>
  </si>
  <si>
    <t>GW10</t>
  </si>
  <si>
    <t>Tom</t>
  </si>
  <si>
    <t>Thorny</t>
  </si>
  <si>
    <t>GW11</t>
  </si>
  <si>
    <t>Ben</t>
  </si>
  <si>
    <t>GW12</t>
  </si>
  <si>
    <t>Bart</t>
  </si>
  <si>
    <t>Mark</t>
  </si>
  <si>
    <t>Davis</t>
  </si>
  <si>
    <t>Joel</t>
  </si>
  <si>
    <t>Akshay</t>
  </si>
  <si>
    <t xml:space="preserve">Brixton </t>
  </si>
  <si>
    <t>Luke</t>
  </si>
  <si>
    <t>Jules</t>
  </si>
  <si>
    <t xml:space="preserve">Jez </t>
  </si>
  <si>
    <t>Conrad</t>
  </si>
  <si>
    <t>Ewan</t>
  </si>
  <si>
    <t>Name</t>
  </si>
  <si>
    <t>Appearances</t>
  </si>
  <si>
    <t>Captaincy</t>
  </si>
  <si>
    <t>Captain Wins</t>
  </si>
  <si>
    <t>Captain Draws</t>
  </si>
  <si>
    <t>Captain Losses</t>
  </si>
  <si>
    <t>Captain win%</t>
  </si>
  <si>
    <t>Connor</t>
  </si>
  <si>
    <t>Corin</t>
  </si>
  <si>
    <t>Karun</t>
  </si>
  <si>
    <t>Steve</t>
  </si>
  <si>
    <t>Will White</t>
  </si>
  <si>
    <t>Sean</t>
  </si>
  <si>
    <t>Sinan</t>
  </si>
  <si>
    <t>Marcus</t>
  </si>
  <si>
    <t>Total</t>
  </si>
  <si>
    <t>Remaining</t>
  </si>
  <si>
    <t>All time apps</t>
  </si>
  <si>
    <t>Clean Sheets</t>
  </si>
  <si>
    <t>Wins</t>
  </si>
  <si>
    <t>Draws</t>
  </si>
  <si>
    <t>Losses</t>
  </si>
  <si>
    <t>Total Team Goals</t>
  </si>
  <si>
    <t>Average Team Goals</t>
  </si>
  <si>
    <t>Total Team Conceded</t>
  </si>
  <si>
    <t>Average Team conceded</t>
  </si>
  <si>
    <t>Game Impact Differential</t>
  </si>
  <si>
    <t>Goals/game</t>
  </si>
  <si>
    <t>Assists/game</t>
  </si>
  <si>
    <t>CS/game</t>
  </si>
  <si>
    <t>G+A/game</t>
  </si>
  <si>
    <t>1st</t>
  </si>
  <si>
    <t>Win rate</t>
  </si>
  <si>
    <t>July</t>
  </si>
  <si>
    <t>Draw rate</t>
  </si>
  <si>
    <t>Loss rate</t>
  </si>
  <si>
    <t>Attendance</t>
  </si>
  <si>
    <t>Goals Per Game in Games they Win</t>
  </si>
  <si>
    <t>Goals Per Game in Games they Lose</t>
  </si>
  <si>
    <t>Goals higher when winning</t>
  </si>
  <si>
    <t>Longest Win Streak</t>
  </si>
  <si>
    <t>N</t>
  </si>
  <si>
    <t>Longest Loss Streak</t>
  </si>
  <si>
    <t>2nd</t>
  </si>
  <si>
    <t>4th</t>
  </si>
  <si>
    <t>August</t>
  </si>
  <si>
    <t>3rd</t>
  </si>
  <si>
    <t>Award</t>
  </si>
  <si>
    <t>Category</t>
  </si>
  <si>
    <t>Explanation</t>
  </si>
  <si>
    <t>Prize</t>
  </si>
  <si>
    <t>Winner 26</t>
  </si>
  <si>
    <t>Winner 25</t>
  </si>
  <si>
    <t>Winner 24</t>
  </si>
  <si>
    <t>Potential ideas</t>
  </si>
  <si>
    <t>Top Scorer</t>
  </si>
  <si>
    <t>Stats</t>
  </si>
  <si>
    <t>Most overall goals</t>
  </si>
  <si>
    <t>Medal</t>
  </si>
  <si>
    <t>Gaffer's Bain</t>
  </si>
  <si>
    <t>most drops</t>
  </si>
  <si>
    <t>Golden Boot</t>
  </si>
  <si>
    <t>Most goals per game</t>
  </si>
  <si>
    <t>Trophy</t>
  </si>
  <si>
    <t xml:space="preserve">Nairn (3.15) </t>
  </si>
  <si>
    <t>Gaffer's Pet</t>
  </si>
  <si>
    <t>Fastest drafter</t>
  </si>
  <si>
    <t>Wooden Boot</t>
  </si>
  <si>
    <t>Least goals per game</t>
  </si>
  <si>
    <t>Wood chip</t>
  </si>
  <si>
    <t>George</t>
  </si>
  <si>
    <t>Assist King</t>
  </si>
  <si>
    <t>Most assists per game</t>
  </si>
  <si>
    <t>G+A</t>
  </si>
  <si>
    <t>Most goals and assists combined per game</t>
  </si>
  <si>
    <t>XgA/90</t>
  </si>
  <si>
    <t>Most clean sheets/game</t>
  </si>
  <si>
    <t>Captain Fantastic</t>
  </si>
  <si>
    <t>Highest Win Rate as captain</t>
  </si>
  <si>
    <t>Captain Shit</t>
  </si>
  <si>
    <t>Lowest Win rate as captain</t>
  </si>
  <si>
    <t>Winners always Win</t>
  </si>
  <si>
    <t>Highest win%</t>
  </si>
  <si>
    <t>Joe (58.87)</t>
  </si>
  <si>
    <t>Better Together</t>
  </si>
  <si>
    <t>Highest win% as a pair</t>
  </si>
  <si>
    <t>2x Medal</t>
  </si>
  <si>
    <t>Bill + Kempy</t>
  </si>
  <si>
    <t>Jez + Harry</t>
  </si>
  <si>
    <t>Gruesome Twosome</t>
  </si>
  <si>
    <t>Lowest win% as a pair</t>
  </si>
  <si>
    <t>2x wooden spoon</t>
  </si>
  <si>
    <t>Nairn + Kempy (28%)</t>
  </si>
  <si>
    <t>Dave + Char</t>
  </si>
  <si>
    <t>Rainbow Road</t>
  </si>
  <si>
    <t>Joe, Crell, Gman, Char, Bill</t>
  </si>
  <si>
    <t>Skid Mark</t>
  </si>
  <si>
    <t>Longest Losing Streak</t>
  </si>
  <si>
    <t>Wooden spoon</t>
  </si>
  <si>
    <t>Data Darling</t>
  </si>
  <si>
    <t>Subjective but someone who stands out as an overperformer in the data</t>
  </si>
  <si>
    <t>Nemesis</t>
  </si>
  <si>
    <t>2 Players with the most statistically significant win/loss rate when in opposition</t>
  </si>
  <si>
    <t>Medal, spoon</t>
  </si>
  <si>
    <t>Bill (vs Harry)</t>
  </si>
  <si>
    <t>Kempy (vs Dave)</t>
  </si>
  <si>
    <t>Got that Dawg in him</t>
  </si>
  <si>
    <t>N/A</t>
  </si>
  <si>
    <t>Flat Track Bully</t>
  </si>
  <si>
    <t xml:space="preserve">Player of the year </t>
  </si>
  <si>
    <t>Vote</t>
  </si>
  <si>
    <t>Self-explanatory</t>
  </si>
  <si>
    <t>Biggest Diva</t>
  </si>
  <si>
    <t>Fastest Pint (live)</t>
  </si>
  <si>
    <t>Most improved</t>
  </si>
  <si>
    <t>Baller (Creative Spark)</t>
  </si>
  <si>
    <t xml:space="preserve">Makes things happen ✨️ </t>
  </si>
  <si>
    <t>Golden Glove</t>
  </si>
  <si>
    <t>Top Keeper</t>
  </si>
  <si>
    <t>Wooden Glove</t>
  </si>
  <si>
    <t>Worst Keeper</t>
  </si>
  <si>
    <t>Wood Chip</t>
  </si>
  <si>
    <t>Player's Player</t>
  </si>
  <si>
    <t>Should lean towards teamwork</t>
  </si>
  <si>
    <t>Brick Wall</t>
  </si>
  <si>
    <t>Best defender</t>
  </si>
  <si>
    <t>Ankle Breaker (tough tackler)</t>
  </si>
  <si>
    <t>Joe Davies Award</t>
  </si>
  <si>
    <t>Non-Joe player of the year</t>
  </si>
  <si>
    <t>Jekyll and Hyde</t>
  </si>
  <si>
    <t>Most inconsistent player</t>
  </si>
  <si>
    <t>Silver Spoon</t>
  </si>
  <si>
    <t>Unsung Hero</t>
  </si>
  <si>
    <t>Best dressed</t>
  </si>
  <si>
    <t>Post-game MVP</t>
  </si>
  <si>
    <t>Good vibes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</si>
</sst>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0" xfId="0" applyFill="1" applyFont="1"/>
    <xf borderId="0" fillId="2" fontId="2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4.88"/>
    <col customWidth="1" min="8" max="8" width="4.75"/>
    <col customWidth="1" min="11" max="11" width="4.0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4"/>
      <c r="G2" s="4"/>
    </row>
    <row r="3">
      <c r="B3" s="4"/>
      <c r="G3" s="4"/>
    </row>
    <row r="4">
      <c r="B4" s="4"/>
      <c r="G4" s="4"/>
    </row>
    <row r="5">
      <c r="B5" s="4"/>
      <c r="G5" s="4"/>
    </row>
    <row r="6">
      <c r="B6" s="4"/>
      <c r="G6" s="4"/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0</v>
      </c>
      <c r="G12" s="4" t="str">
        <f>IF(I12 &gt; D12, "W", IF(I12 &lt; D12, "L", "D"))
</f>
        <v>D</v>
      </c>
      <c r="H12" s="2"/>
      <c r="I12" s="2">
        <f>sum(I2:I11)</f>
        <v>0</v>
      </c>
      <c r="L12" s="3" t="s">
        <v>30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10</v>
      </c>
      <c r="C2" s="3" t="s">
        <v>13</v>
      </c>
      <c r="D2" s="3">
        <v>2.0</v>
      </c>
      <c r="E2" s="3">
        <v>3.0</v>
      </c>
      <c r="F2" s="3"/>
      <c r="G2" s="3" t="s">
        <v>14</v>
      </c>
      <c r="H2" s="3" t="s">
        <v>13</v>
      </c>
      <c r="I2" s="3">
        <v>4.0</v>
      </c>
    </row>
    <row r="3">
      <c r="B3" s="3" t="s">
        <v>15</v>
      </c>
      <c r="D3" s="3">
        <v>1.0</v>
      </c>
      <c r="E3" s="3">
        <v>1.0</v>
      </c>
      <c r="F3" s="3"/>
      <c r="G3" s="3" t="s">
        <v>16</v>
      </c>
      <c r="I3" s="3">
        <v>2.0</v>
      </c>
    </row>
    <row r="4">
      <c r="B4" s="3" t="s">
        <v>11</v>
      </c>
      <c r="D4" s="3">
        <v>3.0</v>
      </c>
      <c r="E4" s="3">
        <v>1.0</v>
      </c>
      <c r="F4" s="3">
        <v>1.0</v>
      </c>
      <c r="G4" s="3" t="s">
        <v>17</v>
      </c>
      <c r="I4" s="3">
        <v>1.0</v>
      </c>
      <c r="J4" s="3">
        <v>2.0</v>
      </c>
    </row>
    <row r="5">
      <c r="B5" s="3" t="s">
        <v>18</v>
      </c>
      <c r="G5" s="3" t="s">
        <v>12</v>
      </c>
      <c r="I5" s="3">
        <v>2.0</v>
      </c>
      <c r="J5" s="3">
        <v>4.0</v>
      </c>
      <c r="K5" s="3">
        <v>1.0</v>
      </c>
    </row>
    <row r="6">
      <c r="B6" s="3" t="s">
        <v>20</v>
      </c>
      <c r="D6" s="3">
        <v>3.0</v>
      </c>
      <c r="E6" s="3">
        <v>4.0</v>
      </c>
      <c r="F6" s="3"/>
      <c r="G6" s="3" t="s">
        <v>21</v>
      </c>
      <c r="I6" s="3">
        <v>5.0</v>
      </c>
      <c r="J6" s="3">
        <v>2.0</v>
      </c>
    </row>
    <row r="7">
      <c r="B7" s="4"/>
      <c r="G7" s="3" t="s">
        <v>19</v>
      </c>
      <c r="J7" s="3">
        <v>1.0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9</v>
      </c>
      <c r="G12" s="4" t="str">
        <f>IF(I12 &gt; D12, "W", IF(I12 &lt; D12, "L", "D"))
</f>
        <v>W</v>
      </c>
      <c r="H12" s="2"/>
      <c r="I12" s="2">
        <f>sum(I2:I11)</f>
        <v>14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0"/>
    <col customWidth="1" min="8" max="8" width="4.75"/>
    <col customWidth="1" min="11" max="11" width="4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11</v>
      </c>
      <c r="C2" s="3" t="s">
        <v>13</v>
      </c>
      <c r="D2" s="3">
        <v>4.0</v>
      </c>
      <c r="E2" s="3">
        <v>1.0</v>
      </c>
      <c r="F2" s="3"/>
      <c r="G2" s="3" t="s">
        <v>20</v>
      </c>
      <c r="H2" s="3" t="s">
        <v>13</v>
      </c>
      <c r="I2" s="3">
        <v>3.0</v>
      </c>
      <c r="J2" s="3">
        <v>1.0</v>
      </c>
      <c r="K2" s="3"/>
    </row>
    <row r="3">
      <c r="B3" s="3" t="s">
        <v>12</v>
      </c>
      <c r="G3" s="3" t="s">
        <v>14</v>
      </c>
      <c r="I3" s="3">
        <v>2.0</v>
      </c>
      <c r="J3" s="3">
        <v>2.0</v>
      </c>
      <c r="K3" s="3">
        <v>1.0</v>
      </c>
    </row>
    <row r="4">
      <c r="B4" s="3" t="s">
        <v>17</v>
      </c>
      <c r="D4" s="3">
        <v>1.0</v>
      </c>
      <c r="F4" s="3">
        <v>1.0</v>
      </c>
      <c r="G4" s="3" t="s">
        <v>21</v>
      </c>
      <c r="I4" s="3">
        <v>1.0</v>
      </c>
      <c r="J4" s="3">
        <v>1.0</v>
      </c>
      <c r="K4" s="3"/>
    </row>
    <row r="5">
      <c r="B5" s="3" t="s">
        <v>16</v>
      </c>
      <c r="D5" s="3">
        <v>3.0</v>
      </c>
      <c r="E5" s="3">
        <v>4.0</v>
      </c>
      <c r="F5" s="3"/>
      <c r="G5" s="3" t="s">
        <v>27</v>
      </c>
      <c r="I5" s="3">
        <v>1.0</v>
      </c>
      <c r="J5" s="3">
        <v>1.0</v>
      </c>
      <c r="K5" s="3"/>
    </row>
    <row r="6">
      <c r="B6" s="3" t="s">
        <v>10</v>
      </c>
      <c r="D6" s="3">
        <v>3.0</v>
      </c>
      <c r="E6" s="3">
        <v>1.0</v>
      </c>
      <c r="F6" s="3"/>
      <c r="G6" s="3" t="s">
        <v>19</v>
      </c>
      <c r="I6" s="3">
        <v>1.0</v>
      </c>
      <c r="K6" s="3">
        <v>1.0</v>
      </c>
    </row>
    <row r="7">
      <c r="B7" s="4"/>
      <c r="G7" s="3" t="s">
        <v>15</v>
      </c>
    </row>
    <row r="8">
      <c r="B8" s="4"/>
      <c r="G8" s="3" t="s">
        <v>29</v>
      </c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11</v>
      </c>
      <c r="G12" s="4" t="str">
        <f>IF(I12 &gt; D12, "W", IF(I12 &lt; D12, "L", "D"))
</f>
        <v>L</v>
      </c>
      <c r="H12" s="2"/>
      <c r="I12" s="2">
        <f>sum(I2:I11)</f>
        <v>8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4.63"/>
    <col customWidth="1" min="8" max="8" width="4.75"/>
    <col customWidth="1" min="11" max="11" width="4.13"/>
  </cols>
  <sheetData>
    <row r="1">
      <c r="A1" s="1" t="s">
        <v>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5.0</v>
      </c>
      <c r="E2" s="3">
        <v>3.0</v>
      </c>
      <c r="F2" s="3" t="s">
        <v>13</v>
      </c>
      <c r="G2" s="3" t="s">
        <v>19</v>
      </c>
      <c r="H2" s="3" t="s">
        <v>13</v>
      </c>
      <c r="J2" s="3">
        <v>1.0</v>
      </c>
      <c r="K2" s="3"/>
    </row>
    <row r="3">
      <c r="B3" s="3" t="s">
        <v>10</v>
      </c>
      <c r="D3" s="3">
        <v>4.0</v>
      </c>
      <c r="E3" s="3">
        <v>4.0</v>
      </c>
      <c r="F3" s="3"/>
      <c r="G3" s="3" t="s">
        <v>11</v>
      </c>
      <c r="I3" s="3">
        <v>2.0</v>
      </c>
      <c r="J3" s="3">
        <v>1.0</v>
      </c>
      <c r="K3" s="3"/>
    </row>
    <row r="4">
      <c r="B4" s="3" t="s">
        <v>18</v>
      </c>
      <c r="C4" s="3" t="s">
        <v>13</v>
      </c>
      <c r="D4" s="3">
        <v>1.0</v>
      </c>
      <c r="E4" s="3">
        <v>4.0</v>
      </c>
      <c r="F4" s="3"/>
      <c r="G4" s="3" t="s">
        <v>22</v>
      </c>
      <c r="I4" s="3">
        <v>1.0</v>
      </c>
    </row>
    <row r="5">
      <c r="B5" s="3" t="s">
        <v>23</v>
      </c>
      <c r="D5" s="3">
        <v>3.0</v>
      </c>
      <c r="F5" s="3" t="s">
        <v>13</v>
      </c>
      <c r="G5" s="3" t="s">
        <v>24</v>
      </c>
      <c r="J5" s="3">
        <v>1.0</v>
      </c>
      <c r="K5" s="3" t="s">
        <v>13</v>
      </c>
    </row>
    <row r="6">
      <c r="B6" s="3" t="s">
        <v>25</v>
      </c>
      <c r="G6" s="3" t="s">
        <v>15</v>
      </c>
      <c r="I6" s="3">
        <v>1.0</v>
      </c>
    </row>
    <row r="7">
      <c r="B7" s="3" t="s">
        <v>17</v>
      </c>
      <c r="D7" s="3">
        <v>1.0</v>
      </c>
      <c r="G7" s="3" t="s">
        <v>20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14</v>
      </c>
      <c r="G12" s="4" t="str">
        <f>IF(I12 &gt; D12, "W", IF(I12 &lt; D12, "L", "D"))
</f>
        <v>L</v>
      </c>
      <c r="H12" s="2"/>
      <c r="I12" s="2">
        <f>sum(I2:I11)</f>
        <v>4</v>
      </c>
      <c r="L12" s="3" t="s">
        <v>28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0"/>
    <col customWidth="1" min="8" max="8" width="4.75"/>
    <col customWidth="1" min="11" max="11" width="4.25"/>
  </cols>
  <sheetData>
    <row r="1">
      <c r="A1" s="1" t="s">
        <v>32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17</v>
      </c>
      <c r="C2" s="3" t="s">
        <v>13</v>
      </c>
      <c r="G2" s="3" t="s">
        <v>22</v>
      </c>
      <c r="H2" s="3" t="s">
        <v>13</v>
      </c>
      <c r="J2" s="3">
        <v>1.0</v>
      </c>
      <c r="K2" s="3"/>
    </row>
    <row r="3">
      <c r="B3" s="3" t="s">
        <v>25</v>
      </c>
      <c r="D3" s="3">
        <v>1.0</v>
      </c>
      <c r="E3" s="3">
        <v>1.0</v>
      </c>
      <c r="F3" s="3"/>
      <c r="G3" s="3" t="s">
        <v>16</v>
      </c>
      <c r="I3" s="3">
        <v>3.0</v>
      </c>
      <c r="J3" s="3">
        <v>1.0</v>
      </c>
      <c r="K3" s="3"/>
    </row>
    <row r="4">
      <c r="B4" s="3" t="s">
        <v>33</v>
      </c>
      <c r="D4" s="3">
        <v>1.0</v>
      </c>
      <c r="E4" s="3">
        <v>2.0</v>
      </c>
      <c r="F4" s="3"/>
      <c r="G4" s="3" t="s">
        <v>23</v>
      </c>
      <c r="I4" s="3">
        <v>2.0</v>
      </c>
      <c r="J4" s="3">
        <v>1.0</v>
      </c>
      <c r="K4" s="3"/>
    </row>
    <row r="5">
      <c r="B5" s="3" t="s">
        <v>12</v>
      </c>
      <c r="D5" s="3">
        <v>3.0</v>
      </c>
      <c r="G5" s="3" t="s">
        <v>27</v>
      </c>
      <c r="I5" s="3">
        <v>1.0</v>
      </c>
      <c r="J5" s="3">
        <v>5.0</v>
      </c>
      <c r="K5" s="3"/>
    </row>
    <row r="6">
      <c r="B6" s="3" t="s">
        <v>10</v>
      </c>
      <c r="D6" s="3">
        <v>2.0</v>
      </c>
      <c r="E6" s="3">
        <v>1.0</v>
      </c>
      <c r="F6" s="3"/>
      <c r="G6" s="3" t="s">
        <v>15</v>
      </c>
      <c r="I6" s="3">
        <v>2.0</v>
      </c>
    </row>
    <row r="7">
      <c r="B7" s="3" t="s">
        <v>20</v>
      </c>
      <c r="D7" s="3">
        <v>1.0</v>
      </c>
      <c r="E7" s="3">
        <v>1.0</v>
      </c>
      <c r="F7" s="3"/>
      <c r="G7" s="3" t="s">
        <v>35</v>
      </c>
      <c r="I7" s="3">
        <v>3.0</v>
      </c>
      <c r="J7" s="3">
        <v>1.0</v>
      </c>
      <c r="K7" s="3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8</v>
      </c>
      <c r="G12" s="4" t="str">
        <f>IF(I12 &gt; D12, "W", IF(I12 &lt; D12, "L", "D"))
</f>
        <v>W</v>
      </c>
      <c r="H12" s="2"/>
      <c r="I12" s="2">
        <f>sum(I2:I11)</f>
        <v>11</v>
      </c>
      <c r="L12" s="3" t="s">
        <v>37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13"/>
    <col customWidth="1" min="8" max="8" width="4.75"/>
    <col customWidth="1" min="11" max="11" width="4.38"/>
  </cols>
  <sheetData>
    <row r="1">
      <c r="A1" s="1" t="s">
        <v>34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1.0</v>
      </c>
      <c r="E2" s="3">
        <v>1.0</v>
      </c>
      <c r="F2" s="3"/>
      <c r="G2" s="3" t="s">
        <v>16</v>
      </c>
      <c r="I2" s="3">
        <v>1.0</v>
      </c>
      <c r="J2" s="3">
        <v>2.0</v>
      </c>
      <c r="K2" s="3"/>
    </row>
    <row r="3">
      <c r="B3" s="3" t="s">
        <v>23</v>
      </c>
      <c r="C3" s="3" t="s">
        <v>13</v>
      </c>
      <c r="D3" s="3">
        <v>1.0</v>
      </c>
      <c r="G3" s="3" t="s">
        <v>17</v>
      </c>
      <c r="I3" s="3">
        <v>1.0</v>
      </c>
    </row>
    <row r="4">
      <c r="B4" s="3" t="s">
        <v>38</v>
      </c>
      <c r="D4" s="3">
        <v>1.0</v>
      </c>
      <c r="E4" s="3">
        <v>1.0</v>
      </c>
      <c r="F4" s="3">
        <v>1.0</v>
      </c>
      <c r="G4" s="3" t="s">
        <v>21</v>
      </c>
      <c r="H4" s="3" t="s">
        <v>13</v>
      </c>
    </row>
    <row r="5">
      <c r="B5" s="3" t="s">
        <v>10</v>
      </c>
      <c r="D5" s="3">
        <v>3.0</v>
      </c>
      <c r="F5" s="3">
        <v>1.0</v>
      </c>
      <c r="G5" s="3" t="s">
        <v>35</v>
      </c>
      <c r="I5" s="3">
        <v>1.0</v>
      </c>
    </row>
    <row r="6">
      <c r="B6" s="3" t="s">
        <v>20</v>
      </c>
      <c r="D6" s="3">
        <v>1.0</v>
      </c>
      <c r="E6" s="3">
        <v>1.0</v>
      </c>
      <c r="F6" s="3"/>
      <c r="G6" s="3" t="s">
        <v>11</v>
      </c>
      <c r="I6" s="3">
        <v>1.0</v>
      </c>
      <c r="J6" s="3">
        <v>1.0</v>
      </c>
      <c r="K6" s="3"/>
    </row>
    <row r="7">
      <c r="B7" s="3" t="s">
        <v>24</v>
      </c>
      <c r="D7" s="3">
        <v>1.0</v>
      </c>
      <c r="G7" s="3" t="s">
        <v>19</v>
      </c>
      <c r="I7" s="3">
        <v>1.0</v>
      </c>
      <c r="J7" s="3">
        <v>1.0</v>
      </c>
      <c r="K7" s="3">
        <v>1.0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8</v>
      </c>
      <c r="G12" s="4" t="str">
        <f>IF(I12 &gt; D12, "W", IF(I12 &lt; D12, "L", "D"))
</f>
        <v>L</v>
      </c>
      <c r="H12" s="2"/>
      <c r="I12" s="2">
        <f>sum(I2:I11)</f>
        <v>5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4.25"/>
    <col customWidth="1" min="8" max="8" width="4.75"/>
    <col customWidth="1" min="11" max="11" width="4.38"/>
  </cols>
  <sheetData>
    <row r="1">
      <c r="A1" s="1" t="s">
        <v>36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2.0</v>
      </c>
      <c r="E2" s="3">
        <v>2.0</v>
      </c>
      <c r="F2" s="3">
        <v>1.0</v>
      </c>
      <c r="G2" s="3" t="s">
        <v>11</v>
      </c>
      <c r="I2" s="3">
        <v>1.0</v>
      </c>
      <c r="K2" s="3">
        <v>1.0</v>
      </c>
    </row>
    <row r="3">
      <c r="B3" s="3" t="s">
        <v>10</v>
      </c>
      <c r="C3" s="3" t="s">
        <v>13</v>
      </c>
      <c r="D3" s="3">
        <v>3.0</v>
      </c>
      <c r="E3" s="3">
        <v>1.0</v>
      </c>
      <c r="F3" s="3"/>
      <c r="G3" s="3" t="s">
        <v>16</v>
      </c>
      <c r="I3" s="3">
        <v>1.0</v>
      </c>
      <c r="J3" s="3">
        <v>2.0</v>
      </c>
      <c r="K3" s="3"/>
    </row>
    <row r="4">
      <c r="B4" s="3" t="s">
        <v>21</v>
      </c>
      <c r="D4" s="3">
        <v>1.0</v>
      </c>
      <c r="E4" s="3">
        <v>1.0</v>
      </c>
      <c r="F4" s="3">
        <v>1.0</v>
      </c>
      <c r="G4" s="3" t="s">
        <v>35</v>
      </c>
      <c r="H4" s="3" t="s">
        <v>13</v>
      </c>
    </row>
    <row r="5">
      <c r="B5" s="3" t="s">
        <v>20</v>
      </c>
      <c r="D5" s="3">
        <v>4.0</v>
      </c>
      <c r="E5" s="3">
        <v>3.0</v>
      </c>
      <c r="F5" s="3"/>
      <c r="G5" s="3" t="s">
        <v>33</v>
      </c>
      <c r="I5" s="3">
        <v>1.0</v>
      </c>
    </row>
    <row r="6">
      <c r="B6" s="3" t="s">
        <v>18</v>
      </c>
      <c r="D6" s="3">
        <v>1.0</v>
      </c>
      <c r="E6" s="3">
        <v>2.0</v>
      </c>
      <c r="F6" s="3"/>
      <c r="G6" s="3" t="s">
        <v>17</v>
      </c>
    </row>
    <row r="7">
      <c r="B7" s="4"/>
      <c r="G7" s="3" t="s">
        <v>22</v>
      </c>
      <c r="I7" s="3">
        <v>2.0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11</v>
      </c>
      <c r="G12" s="4" t="str">
        <f>IF(I12 &gt; D12, "W", IF(I12 &lt; D12, "L", "D"))
</f>
        <v>L</v>
      </c>
      <c r="H12" s="2"/>
      <c r="I12" s="2">
        <f>sum(I2:I11)</f>
        <v>5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39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1.0</v>
      </c>
      <c r="E2" s="3">
        <v>1.0</v>
      </c>
      <c r="G2" s="3" t="s">
        <v>19</v>
      </c>
      <c r="I2" s="3">
        <v>2.0</v>
      </c>
      <c r="J2" s="3">
        <v>1.0</v>
      </c>
      <c r="K2" s="3">
        <v>1.0</v>
      </c>
    </row>
    <row r="3">
      <c r="B3" s="3" t="s">
        <v>10</v>
      </c>
      <c r="D3" s="3">
        <v>2.0</v>
      </c>
      <c r="G3" s="3" t="s">
        <v>11</v>
      </c>
      <c r="I3" s="3">
        <v>3.0</v>
      </c>
      <c r="J3" s="3">
        <v>2.0</v>
      </c>
    </row>
    <row r="4">
      <c r="B4" s="3" t="s">
        <v>20</v>
      </c>
      <c r="D4" s="3">
        <v>2.0</v>
      </c>
      <c r="E4" s="3">
        <v>1.0</v>
      </c>
      <c r="G4" s="3" t="s">
        <v>40</v>
      </c>
      <c r="K4" s="3">
        <v>1.0</v>
      </c>
    </row>
    <row r="5">
      <c r="B5" s="3" t="s">
        <v>33</v>
      </c>
      <c r="E5" s="3">
        <v>1.0</v>
      </c>
      <c r="G5" s="3" t="s">
        <v>25</v>
      </c>
      <c r="I5" s="3">
        <v>2.0</v>
      </c>
      <c r="J5" s="3">
        <v>1.0</v>
      </c>
    </row>
    <row r="6">
      <c r="B6" s="3" t="s">
        <v>22</v>
      </c>
      <c r="G6" s="3" t="s">
        <v>27</v>
      </c>
      <c r="H6" s="3" t="s">
        <v>13</v>
      </c>
      <c r="I6" s="3">
        <v>2.0</v>
      </c>
      <c r="J6" s="3">
        <v>2.0</v>
      </c>
    </row>
    <row r="7">
      <c r="B7" s="3" t="s">
        <v>17</v>
      </c>
      <c r="C7" s="3" t="s">
        <v>13</v>
      </c>
      <c r="D7" s="3">
        <v>1.0</v>
      </c>
      <c r="G7" s="3" t="s">
        <v>35</v>
      </c>
      <c r="I7" s="3">
        <v>1.0</v>
      </c>
      <c r="J7" s="3">
        <v>2.0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6</v>
      </c>
      <c r="G12" s="4" t="str">
        <f>IF(I12 &gt; D12, "W", IF(I12 &lt; D12, "L", "D"))
</f>
        <v>W</v>
      </c>
      <c r="H12" s="2"/>
      <c r="I12" s="2">
        <f>sum(I2:I11)</f>
        <v>10</v>
      </c>
      <c r="L12" s="3" t="s">
        <v>37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11</v>
      </c>
      <c r="C2" s="3" t="s">
        <v>13</v>
      </c>
      <c r="D2" s="3">
        <v>1.0</v>
      </c>
      <c r="E2" s="3">
        <v>2.0</v>
      </c>
      <c r="F2" s="3">
        <v>1.0</v>
      </c>
      <c r="G2" s="3" t="s">
        <v>19</v>
      </c>
      <c r="H2" s="3" t="s">
        <v>13</v>
      </c>
      <c r="J2" s="3">
        <v>3.0</v>
      </c>
    </row>
    <row r="3">
      <c r="B3" s="3" t="s">
        <v>12</v>
      </c>
      <c r="D3" s="3">
        <v>3.0</v>
      </c>
      <c r="E3" s="3">
        <v>1.0</v>
      </c>
      <c r="G3" s="3" t="s">
        <v>17</v>
      </c>
      <c r="K3" s="3">
        <v>1.0</v>
      </c>
    </row>
    <row r="4">
      <c r="B4" s="3" t="s">
        <v>20</v>
      </c>
      <c r="D4" s="3">
        <v>4.0</v>
      </c>
      <c r="E4" s="3">
        <v>1.0</v>
      </c>
      <c r="G4" s="3" t="s">
        <v>33</v>
      </c>
      <c r="I4" s="3">
        <v>1.0</v>
      </c>
    </row>
    <row r="5">
      <c r="B5" s="3" t="s">
        <v>22</v>
      </c>
      <c r="D5" s="3">
        <v>1.0</v>
      </c>
      <c r="E5" s="3">
        <v>1.0</v>
      </c>
      <c r="G5" s="3" t="s">
        <v>18</v>
      </c>
    </row>
    <row r="6">
      <c r="B6" s="3" t="s">
        <v>25</v>
      </c>
      <c r="G6" s="3" t="s">
        <v>27</v>
      </c>
    </row>
    <row r="7">
      <c r="B7" s="3" t="s">
        <v>10</v>
      </c>
      <c r="D7" s="3">
        <v>1.0</v>
      </c>
      <c r="E7" s="3">
        <v>1.0</v>
      </c>
      <c r="G7" s="3" t="s">
        <v>35</v>
      </c>
      <c r="I7" s="3">
        <v>4.0</v>
      </c>
    </row>
    <row r="8">
      <c r="B8" s="4"/>
      <c r="G8" s="3" t="s">
        <v>29</v>
      </c>
      <c r="I8" s="3">
        <v>1.0</v>
      </c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10</v>
      </c>
      <c r="G12" s="4" t="str">
        <f>IF(I12 &gt; D12, "W", IF(I12 &lt; D12, "L", "D"))
</f>
        <v>L</v>
      </c>
      <c r="H12" s="2"/>
      <c r="I12" s="2">
        <f>sum(I2:I11)</f>
        <v>6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25</v>
      </c>
      <c r="C2" s="3" t="s">
        <v>13</v>
      </c>
      <c r="G2" s="3" t="s">
        <v>10</v>
      </c>
    </row>
    <row r="3">
      <c r="B3" s="3" t="s">
        <v>12</v>
      </c>
      <c r="D3" s="3">
        <v>2.0</v>
      </c>
      <c r="E3" s="3">
        <v>3.0</v>
      </c>
      <c r="G3" s="3" t="s">
        <v>43</v>
      </c>
      <c r="I3" s="3">
        <v>1.0</v>
      </c>
      <c r="J3" s="3">
        <v>1.0</v>
      </c>
    </row>
    <row r="4">
      <c r="B4" s="3" t="s">
        <v>27</v>
      </c>
      <c r="D4" s="3">
        <v>2.0</v>
      </c>
      <c r="G4" s="3" t="s">
        <v>33</v>
      </c>
      <c r="H4" s="3" t="s">
        <v>13</v>
      </c>
      <c r="I4" s="3">
        <v>3.0</v>
      </c>
    </row>
    <row r="5">
      <c r="B5" s="3" t="s">
        <v>18</v>
      </c>
      <c r="E5" s="3">
        <v>1.0</v>
      </c>
      <c r="G5" s="3" t="s">
        <v>22</v>
      </c>
    </row>
    <row r="6">
      <c r="B6" s="3" t="s">
        <v>24</v>
      </c>
      <c r="G6" s="3" t="s">
        <v>35</v>
      </c>
      <c r="J6" s="3">
        <v>3.0</v>
      </c>
    </row>
    <row r="7">
      <c r="B7" s="3" t="s">
        <v>15</v>
      </c>
      <c r="D7" s="3">
        <v>2.0</v>
      </c>
      <c r="E7" s="3">
        <v>1.0</v>
      </c>
      <c r="G7" s="3" t="s">
        <v>11</v>
      </c>
      <c r="I7" s="3">
        <v>2.0</v>
      </c>
      <c r="J7" s="3">
        <v>2.0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6</v>
      </c>
      <c r="G12" s="4" t="str">
        <f>IF(I12 &gt; D12, "W", IF(I12 &lt; D12, "L", "D"))
</f>
        <v>D</v>
      </c>
      <c r="H12" s="2"/>
      <c r="I12" s="2">
        <f>sum(I2:I11)</f>
        <v>6</v>
      </c>
      <c r="L12" s="3" t="s">
        <v>28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43</v>
      </c>
      <c r="C2" s="3" t="s">
        <v>13</v>
      </c>
      <c r="D2" s="3">
        <v>1.0</v>
      </c>
      <c r="E2" s="3">
        <v>1.0</v>
      </c>
      <c r="G2" s="3" t="s">
        <v>21</v>
      </c>
      <c r="H2" s="3" t="s">
        <v>13</v>
      </c>
      <c r="I2" s="3">
        <v>2.0</v>
      </c>
      <c r="J2" s="3">
        <v>1.0</v>
      </c>
    </row>
    <row r="3">
      <c r="B3" s="3" t="s">
        <v>27</v>
      </c>
      <c r="D3" s="3">
        <v>3.0</v>
      </c>
      <c r="E3" s="3">
        <v>1.0</v>
      </c>
      <c r="G3" s="3" t="s">
        <v>10</v>
      </c>
      <c r="I3" s="3">
        <v>2.0</v>
      </c>
      <c r="J3" s="3">
        <v>1.0</v>
      </c>
      <c r="K3" s="3">
        <v>1.0</v>
      </c>
    </row>
    <row r="4">
      <c r="B4" s="3" t="s">
        <v>19</v>
      </c>
      <c r="D4" s="3">
        <v>3.0</v>
      </c>
      <c r="E4" s="3">
        <v>2.0</v>
      </c>
      <c r="G4" s="3" t="s">
        <v>17</v>
      </c>
    </row>
    <row r="5">
      <c r="A5" s="3" t="s">
        <v>45</v>
      </c>
      <c r="B5" s="3" t="s">
        <v>46</v>
      </c>
      <c r="F5" s="3">
        <v>1.0</v>
      </c>
      <c r="G5" s="3" t="s">
        <v>18</v>
      </c>
      <c r="I5" s="3">
        <v>1.0</v>
      </c>
      <c r="J5" s="3">
        <v>1.0</v>
      </c>
    </row>
    <row r="6">
      <c r="B6" s="3" t="s">
        <v>22</v>
      </c>
      <c r="E6" s="3">
        <v>2.0</v>
      </c>
      <c r="G6" s="3" t="s">
        <v>20</v>
      </c>
      <c r="I6" s="3">
        <v>1.0</v>
      </c>
      <c r="J6" s="3">
        <v>2.0</v>
      </c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7</v>
      </c>
      <c r="G12" s="4" t="str">
        <f>IF(I12 &gt; D12, "W", IF(I12 &lt; D12, "L", "D"))
</f>
        <v>L</v>
      </c>
      <c r="H12" s="2"/>
      <c r="I12" s="2">
        <f>sum(I2:I11)</f>
        <v>6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17</v>
      </c>
      <c r="C2" s="3" t="s">
        <v>13</v>
      </c>
      <c r="E2" s="3">
        <v>1.0</v>
      </c>
      <c r="F2" s="3">
        <v>1.0</v>
      </c>
      <c r="G2" s="3" t="s">
        <v>15</v>
      </c>
      <c r="H2" s="3" t="s">
        <v>13</v>
      </c>
      <c r="I2" s="3">
        <v>2.0</v>
      </c>
    </row>
    <row r="3">
      <c r="B3" s="3" t="s">
        <v>12</v>
      </c>
      <c r="D3" s="3">
        <v>3.0</v>
      </c>
      <c r="E3" s="3">
        <v>1.0</v>
      </c>
      <c r="G3" s="3" t="s">
        <v>19</v>
      </c>
      <c r="I3" s="3">
        <v>1.0</v>
      </c>
      <c r="J3" s="3">
        <v>1.0</v>
      </c>
    </row>
    <row r="4">
      <c r="B4" s="3" t="s">
        <v>18</v>
      </c>
      <c r="D4" s="3">
        <v>1.0</v>
      </c>
      <c r="E4" s="3">
        <v>1.0</v>
      </c>
      <c r="G4" s="3" t="s">
        <v>43</v>
      </c>
      <c r="I4" s="3">
        <v>1.0</v>
      </c>
    </row>
    <row r="5">
      <c r="B5" s="3" t="s">
        <v>20</v>
      </c>
      <c r="D5" s="3">
        <v>5.0</v>
      </c>
      <c r="E5" s="3">
        <v>2.0</v>
      </c>
      <c r="G5" s="3" t="s">
        <v>27</v>
      </c>
      <c r="I5" s="3">
        <v>1.0</v>
      </c>
    </row>
    <row r="6">
      <c r="B6" s="3" t="s">
        <v>21</v>
      </c>
      <c r="D6" s="3">
        <v>3.0</v>
      </c>
      <c r="E6" s="3">
        <v>2.0</v>
      </c>
      <c r="G6" s="3" t="s">
        <v>10</v>
      </c>
      <c r="J6" s="3">
        <v>2.0</v>
      </c>
    </row>
    <row r="7">
      <c r="B7" s="3" t="s">
        <v>48</v>
      </c>
      <c r="E7" s="3">
        <v>1.0</v>
      </c>
      <c r="G7" s="3" t="s">
        <v>22</v>
      </c>
      <c r="I7" s="3">
        <v>2.0</v>
      </c>
      <c r="K7" s="3">
        <v>1.0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12</v>
      </c>
      <c r="G12" s="4" t="str">
        <f>IF(I12 &gt; D12, "W", IF(I12 &lt; D12, "L", "D"))
</f>
        <v>L</v>
      </c>
      <c r="H12" s="2"/>
      <c r="I12" s="2">
        <f>sum(I2:I11)</f>
        <v>7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C2" s="3" t="s">
        <v>13</v>
      </c>
      <c r="D2" s="3">
        <v>1.0</v>
      </c>
      <c r="E2" s="3">
        <v>1.0</v>
      </c>
      <c r="F2" s="3">
        <v>1.0</v>
      </c>
      <c r="G2" s="3" t="s">
        <v>48</v>
      </c>
      <c r="I2" s="3">
        <v>1.0</v>
      </c>
      <c r="J2" s="3">
        <v>1.0</v>
      </c>
      <c r="K2" s="3">
        <v>1.0</v>
      </c>
    </row>
    <row r="3">
      <c r="B3" s="3" t="s">
        <v>19</v>
      </c>
      <c r="D3" s="3">
        <v>2.0</v>
      </c>
      <c r="G3" s="3" t="s">
        <v>10</v>
      </c>
      <c r="I3" s="3">
        <v>4.0</v>
      </c>
      <c r="K3" s="3">
        <v>1.0</v>
      </c>
    </row>
    <row r="4">
      <c r="B4" s="3" t="s">
        <v>43</v>
      </c>
      <c r="G4" s="3" t="s">
        <v>18</v>
      </c>
      <c r="I4" s="3">
        <v>1.0</v>
      </c>
      <c r="J4" s="3">
        <v>2.0</v>
      </c>
      <c r="K4" s="3">
        <v>1.0</v>
      </c>
    </row>
    <row r="5">
      <c r="B5" s="3" t="s">
        <v>22</v>
      </c>
      <c r="G5" s="3" t="s">
        <v>20</v>
      </c>
      <c r="H5" s="3" t="s">
        <v>13</v>
      </c>
      <c r="I5" s="3">
        <v>1.0</v>
      </c>
      <c r="J5" s="3">
        <v>0.0</v>
      </c>
      <c r="K5" s="3">
        <v>0.0</v>
      </c>
    </row>
    <row r="6">
      <c r="B6" s="3" t="s">
        <v>35</v>
      </c>
      <c r="E6" s="3">
        <v>1.0</v>
      </c>
      <c r="F6" s="3">
        <v>1.0</v>
      </c>
      <c r="G6" s="3" t="s">
        <v>17</v>
      </c>
      <c r="I6" s="3">
        <v>1.0</v>
      </c>
      <c r="J6" s="3">
        <v>3.0</v>
      </c>
    </row>
    <row r="7">
      <c r="B7" s="3" t="s">
        <v>24</v>
      </c>
      <c r="G7" s="3" t="s">
        <v>15</v>
      </c>
      <c r="I7" s="3">
        <v>2.0</v>
      </c>
      <c r="J7" s="3">
        <v>1.0</v>
      </c>
      <c r="K7" s="3">
        <v>1.0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3</v>
      </c>
      <c r="G12" s="4" t="str">
        <f>IF(I12 &gt; D12, "W", IF(I12 &lt; D12, "L", "D"))
</f>
        <v>W</v>
      </c>
      <c r="H12" s="2"/>
      <c r="I12" s="2">
        <f>sum(I2:I11)</f>
        <v>10</v>
      </c>
      <c r="L12" s="3" t="s">
        <v>37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48</v>
      </c>
      <c r="E2" s="3">
        <v>3.0</v>
      </c>
      <c r="G2" s="3" t="s">
        <v>43</v>
      </c>
      <c r="H2" s="3" t="s">
        <v>13</v>
      </c>
      <c r="I2" s="3">
        <v>1.0</v>
      </c>
    </row>
    <row r="3">
      <c r="B3" s="3" t="s">
        <v>12</v>
      </c>
      <c r="D3" s="3">
        <v>3.0</v>
      </c>
      <c r="E3" s="3">
        <v>1.0</v>
      </c>
      <c r="F3" s="3">
        <v>1.0</v>
      </c>
      <c r="G3" s="3" t="s">
        <v>20</v>
      </c>
      <c r="I3" s="3">
        <v>4.0</v>
      </c>
      <c r="J3" s="3">
        <v>2.0</v>
      </c>
      <c r="K3" s="3">
        <v>1.0</v>
      </c>
    </row>
    <row r="4">
      <c r="B4" s="3" t="s">
        <v>11</v>
      </c>
      <c r="D4" s="3">
        <v>2.0</v>
      </c>
      <c r="E4" s="3">
        <v>1.0</v>
      </c>
      <c r="F4" s="3">
        <v>1.0</v>
      </c>
      <c r="G4" s="3" t="s">
        <v>27</v>
      </c>
      <c r="I4" s="3">
        <v>1.0</v>
      </c>
      <c r="K4" s="3">
        <v>1.0</v>
      </c>
    </row>
    <row r="5">
      <c r="B5" s="3" t="s">
        <v>18</v>
      </c>
      <c r="C5" s="3" t="s">
        <v>13</v>
      </c>
      <c r="G5" s="3" t="s">
        <v>21</v>
      </c>
      <c r="I5" s="3">
        <v>2.0</v>
      </c>
      <c r="J5" s="3">
        <v>2.0</v>
      </c>
      <c r="K5" s="3">
        <v>1.0</v>
      </c>
    </row>
    <row r="6">
      <c r="B6" s="3" t="s">
        <v>46</v>
      </c>
      <c r="G6" s="3" t="s">
        <v>25</v>
      </c>
    </row>
    <row r="7">
      <c r="B7" s="3" t="s">
        <v>10</v>
      </c>
      <c r="G7" s="3" t="s">
        <v>15</v>
      </c>
      <c r="J7" s="3">
        <v>1.0</v>
      </c>
      <c r="K7" s="3">
        <v>1.0</v>
      </c>
    </row>
    <row r="8">
      <c r="B8" s="4"/>
      <c r="G8" s="3" t="s">
        <v>29</v>
      </c>
      <c r="I8" s="3">
        <v>1.0</v>
      </c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5</v>
      </c>
      <c r="G12" s="4" t="str">
        <f>IF(I12 &gt; D12, "W", IF(I12 &lt; D12, "L", "D"))
</f>
        <v>W</v>
      </c>
      <c r="H12" s="2"/>
      <c r="I12" s="2">
        <f>sum(I2:I11)</f>
        <v>9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C2" s="3" t="s">
        <v>13</v>
      </c>
      <c r="D2" s="3">
        <v>4.0</v>
      </c>
      <c r="E2" s="3">
        <v>4.0</v>
      </c>
      <c r="G2" s="3" t="s">
        <v>10</v>
      </c>
      <c r="H2" s="3" t="s">
        <v>13</v>
      </c>
      <c r="I2" s="3">
        <v>2.0</v>
      </c>
      <c r="J2" s="3">
        <v>4.0</v>
      </c>
    </row>
    <row r="3">
      <c r="B3" s="3" t="s">
        <v>11</v>
      </c>
      <c r="D3" s="3">
        <v>1.0</v>
      </c>
      <c r="G3" s="3" t="s">
        <v>20</v>
      </c>
      <c r="I3" s="3">
        <v>4.0</v>
      </c>
      <c r="J3" s="3">
        <v>3.0</v>
      </c>
    </row>
    <row r="4">
      <c r="B4" s="3" t="s">
        <v>27</v>
      </c>
      <c r="D4" s="3">
        <v>2.0</v>
      </c>
      <c r="E4" s="3">
        <v>3.0</v>
      </c>
      <c r="G4" s="3" t="s">
        <v>18</v>
      </c>
      <c r="I4" s="3">
        <v>2.0</v>
      </c>
      <c r="J4" s="3">
        <v>2.0</v>
      </c>
    </row>
    <row r="5">
      <c r="A5" s="3" t="s">
        <v>50</v>
      </c>
      <c r="B5" s="3"/>
      <c r="D5" s="3">
        <v>2.0</v>
      </c>
      <c r="G5" s="3" t="s">
        <v>17</v>
      </c>
      <c r="I5" s="3">
        <v>2.0</v>
      </c>
    </row>
    <row r="6">
      <c r="A6" s="3" t="s">
        <v>51</v>
      </c>
      <c r="B6" s="4"/>
      <c r="G6" s="3" t="s">
        <v>25</v>
      </c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9</v>
      </c>
      <c r="G12" s="4" t="str">
        <f>IF(I12 &gt; D12, "W", IF(I12 &lt; D12, "L", "D"))
</f>
        <v>W</v>
      </c>
      <c r="H12" s="2"/>
      <c r="I12" s="2">
        <f>sum(I2:I11)</f>
        <v>10</v>
      </c>
      <c r="L12" s="3" t="s">
        <v>28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2.0</v>
      </c>
      <c r="G2" s="3" t="s">
        <v>17</v>
      </c>
      <c r="J2" s="3">
        <v>1.0</v>
      </c>
    </row>
    <row r="3">
      <c r="B3" s="3" t="s">
        <v>27</v>
      </c>
      <c r="D3" s="3">
        <v>1.0</v>
      </c>
      <c r="E3" s="3">
        <v>1.0</v>
      </c>
      <c r="G3" s="3" t="s">
        <v>11</v>
      </c>
      <c r="I3" s="3">
        <v>3.0</v>
      </c>
      <c r="J3" s="3">
        <v>1.0</v>
      </c>
      <c r="K3" s="3">
        <v>1.0</v>
      </c>
    </row>
    <row r="4">
      <c r="B4" s="3" t="s">
        <v>19</v>
      </c>
      <c r="D4" s="3">
        <v>1.0</v>
      </c>
      <c r="E4" s="3">
        <v>2.0</v>
      </c>
      <c r="G4" s="3" t="s">
        <v>20</v>
      </c>
    </row>
    <row r="5">
      <c r="B5" s="3" t="s">
        <v>35</v>
      </c>
      <c r="C5" s="3" t="s">
        <v>13</v>
      </c>
      <c r="D5" s="3">
        <v>3.0</v>
      </c>
      <c r="E5" s="3">
        <v>2.0</v>
      </c>
      <c r="G5" s="3" t="s">
        <v>21</v>
      </c>
      <c r="H5" s="3" t="s">
        <v>13</v>
      </c>
      <c r="I5" s="3">
        <v>1.0</v>
      </c>
      <c r="J5" s="3">
        <v>2.0</v>
      </c>
    </row>
    <row r="6">
      <c r="B6" s="3" t="s">
        <v>18</v>
      </c>
      <c r="D6" s="3">
        <v>1.0</v>
      </c>
      <c r="E6" s="3">
        <v>2.0</v>
      </c>
      <c r="F6" s="3">
        <v>1.0</v>
      </c>
      <c r="G6" s="3" t="s">
        <v>10</v>
      </c>
    </row>
    <row r="7">
      <c r="B7" s="3" t="s">
        <v>22</v>
      </c>
      <c r="D7" s="3">
        <v>1.0</v>
      </c>
      <c r="F7" s="3">
        <v>1.0</v>
      </c>
      <c r="G7" s="3" t="s">
        <v>43</v>
      </c>
      <c r="I7" s="3">
        <v>1.0</v>
      </c>
    </row>
    <row r="8">
      <c r="B8" s="3" t="s">
        <v>29</v>
      </c>
      <c r="G8" s="3" t="s">
        <v>29</v>
      </c>
      <c r="I8" s="3">
        <v>1.0</v>
      </c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9</v>
      </c>
      <c r="G12" s="4" t="str">
        <f>IF(I12 &gt; D12, "W", IF(I12 &lt; D12, "L", "D"))
</f>
        <v>L</v>
      </c>
      <c r="H12" s="2"/>
      <c r="I12" s="2">
        <f>sum(I2:I11)</f>
        <v>6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2.0</v>
      </c>
      <c r="E2" s="3">
        <v>2.0</v>
      </c>
      <c r="F2" s="3">
        <v>1.0</v>
      </c>
      <c r="G2" s="3" t="s">
        <v>25</v>
      </c>
      <c r="H2" s="3" t="s">
        <v>13</v>
      </c>
    </row>
    <row r="3">
      <c r="B3" s="3" t="s">
        <v>18</v>
      </c>
      <c r="D3" s="3">
        <v>1.0</v>
      </c>
      <c r="E3" s="3">
        <v>1.0</v>
      </c>
      <c r="F3" s="3">
        <v>1.0</v>
      </c>
      <c r="G3" s="3" t="s">
        <v>43</v>
      </c>
    </row>
    <row r="4">
      <c r="B4" s="3" t="s">
        <v>22</v>
      </c>
      <c r="C4" s="3" t="s">
        <v>13</v>
      </c>
      <c r="D4" s="3">
        <v>1.0</v>
      </c>
      <c r="E4" s="3">
        <v>1.0</v>
      </c>
      <c r="G4" s="3" t="s">
        <v>10</v>
      </c>
      <c r="I4" s="3">
        <v>2.0</v>
      </c>
    </row>
    <row r="5">
      <c r="B5" s="3" t="s">
        <v>17</v>
      </c>
      <c r="D5" s="3">
        <v>2.0</v>
      </c>
      <c r="E5" s="3">
        <v>1.0</v>
      </c>
      <c r="F5" s="3">
        <v>1.0</v>
      </c>
      <c r="G5" s="3" t="s">
        <v>48</v>
      </c>
      <c r="J5" s="3">
        <v>1.0</v>
      </c>
    </row>
    <row r="6">
      <c r="B6" s="3" t="s">
        <v>27</v>
      </c>
      <c r="D6" s="3">
        <v>1.0</v>
      </c>
      <c r="G6" s="3" t="s">
        <v>16</v>
      </c>
      <c r="I6" s="3">
        <v>1.0</v>
      </c>
      <c r="J6" s="3">
        <v>2.0</v>
      </c>
      <c r="K6" s="3">
        <v>1.0</v>
      </c>
    </row>
    <row r="7">
      <c r="B7" s="3" t="s">
        <v>20</v>
      </c>
      <c r="D7" s="3">
        <v>3.0</v>
      </c>
      <c r="E7" s="3">
        <v>2.0</v>
      </c>
      <c r="F7" s="3">
        <v>1.0</v>
      </c>
      <c r="G7" s="3" t="s">
        <v>19</v>
      </c>
    </row>
    <row r="8">
      <c r="B8" s="4"/>
      <c r="G8" s="3" t="s">
        <v>29</v>
      </c>
      <c r="I8" s="3">
        <v>1.0</v>
      </c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10</v>
      </c>
      <c r="G12" s="4" t="str">
        <f>IF(I12 &gt; D12, "W", IF(I12 &lt; D12, "L", "D"))
</f>
        <v>L</v>
      </c>
      <c r="H12" s="2"/>
      <c r="I12" s="2">
        <f>sum(I2:I11)</f>
        <v>4</v>
      </c>
      <c r="L12" s="3" t="s">
        <v>37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2.0</v>
      </c>
      <c r="E2" s="3">
        <v>1.0</v>
      </c>
      <c r="G2" s="3" t="s">
        <v>10</v>
      </c>
      <c r="I2" s="3">
        <v>3.0</v>
      </c>
      <c r="J2" s="3">
        <v>1.0</v>
      </c>
    </row>
    <row r="3">
      <c r="B3" s="3" t="s">
        <v>24</v>
      </c>
      <c r="G3" s="3" t="s">
        <v>11</v>
      </c>
      <c r="I3" s="3">
        <v>1.0</v>
      </c>
      <c r="J3" s="3">
        <v>2.0</v>
      </c>
    </row>
    <row r="4">
      <c r="B4" s="3" t="s">
        <v>22</v>
      </c>
      <c r="G4" s="3" t="s">
        <v>20</v>
      </c>
      <c r="H4" s="3" t="s">
        <v>13</v>
      </c>
      <c r="I4" s="3">
        <v>1.0</v>
      </c>
      <c r="J4" s="3">
        <v>2.0</v>
      </c>
      <c r="K4" s="3">
        <v>1.0</v>
      </c>
    </row>
    <row r="5">
      <c r="B5" s="3" t="s">
        <v>16</v>
      </c>
      <c r="C5" s="3" t="s">
        <v>13</v>
      </c>
      <c r="D5" s="3">
        <v>3.0</v>
      </c>
      <c r="E5" s="3">
        <v>2.0</v>
      </c>
      <c r="G5" s="3" t="s">
        <v>18</v>
      </c>
      <c r="I5" s="3">
        <v>1.0</v>
      </c>
    </row>
    <row r="6">
      <c r="B6" s="3" t="s">
        <v>19</v>
      </c>
      <c r="D6" s="3">
        <v>3.0</v>
      </c>
      <c r="E6" s="3">
        <v>3.0</v>
      </c>
      <c r="G6" s="3" t="s">
        <v>25</v>
      </c>
      <c r="I6" s="3">
        <v>1.0</v>
      </c>
    </row>
    <row r="7">
      <c r="B7" s="3" t="s">
        <v>46</v>
      </c>
      <c r="D7" s="3">
        <v>1.0</v>
      </c>
      <c r="G7" s="3" t="s">
        <v>21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9</v>
      </c>
      <c r="G12" s="4" t="str">
        <f>IF(I12 &gt; D12, "W", IF(I12 &lt; D12, "L", "D"))
</f>
        <v>L</v>
      </c>
      <c r="H12" s="2"/>
      <c r="I12" s="2">
        <f>sum(I2:I11)</f>
        <v>7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1.0</v>
      </c>
      <c r="E2" s="3">
        <v>1.0</v>
      </c>
      <c r="G2" s="3" t="s">
        <v>27</v>
      </c>
      <c r="H2" s="3" t="s">
        <v>13</v>
      </c>
      <c r="J2" s="3">
        <v>1.0</v>
      </c>
    </row>
    <row r="3">
      <c r="B3" s="3" t="s">
        <v>11</v>
      </c>
      <c r="G3" s="3" t="s">
        <v>52</v>
      </c>
    </row>
    <row r="4">
      <c r="B4" s="3" t="s">
        <v>43</v>
      </c>
      <c r="D4" s="3">
        <v>2.0</v>
      </c>
      <c r="G4" s="3" t="s">
        <v>10</v>
      </c>
      <c r="K4" s="3">
        <v>1.0</v>
      </c>
    </row>
    <row r="5">
      <c r="B5" s="3" t="s">
        <v>22</v>
      </c>
      <c r="D5" s="3">
        <v>1.0</v>
      </c>
      <c r="E5" s="3">
        <v>1.0</v>
      </c>
      <c r="G5" s="3" t="s">
        <v>20</v>
      </c>
      <c r="I5" s="3">
        <v>2.0</v>
      </c>
    </row>
    <row r="6">
      <c r="B6" s="3" t="s">
        <v>18</v>
      </c>
      <c r="C6" s="3" t="s">
        <v>13</v>
      </c>
      <c r="G6" s="3" t="s">
        <v>17</v>
      </c>
      <c r="K6" s="3">
        <v>1.0</v>
      </c>
    </row>
    <row r="7">
      <c r="B7" s="3" t="s">
        <v>15</v>
      </c>
      <c r="E7" s="3">
        <v>1.0</v>
      </c>
      <c r="G7" s="3" t="s">
        <v>21</v>
      </c>
      <c r="I7" s="3">
        <v>1.0</v>
      </c>
    </row>
    <row r="8">
      <c r="B8" s="4"/>
      <c r="F8" s="3">
        <v>1.0</v>
      </c>
      <c r="G8" s="3" t="s">
        <v>29</v>
      </c>
      <c r="I8" s="3">
        <v>1.0</v>
      </c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4</v>
      </c>
      <c r="G12" s="4" t="str">
        <f>IF(I12 &gt; D12, "W", IF(I12 &lt; D12, "L", "D"))
</f>
        <v>D</v>
      </c>
      <c r="H12" s="2"/>
      <c r="I12" s="2">
        <f>sum(I2:I11)</f>
        <v>4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19</v>
      </c>
      <c r="C2" s="3" t="s">
        <v>13</v>
      </c>
      <c r="E2" s="3">
        <v>1.0</v>
      </c>
      <c r="G2" s="3" t="s">
        <v>35</v>
      </c>
      <c r="H2" s="3" t="s">
        <v>13</v>
      </c>
    </row>
    <row r="3">
      <c r="B3" s="3" t="s">
        <v>46</v>
      </c>
      <c r="F3" s="3">
        <v>2.0</v>
      </c>
      <c r="G3" s="3" t="s">
        <v>20</v>
      </c>
      <c r="J3" s="3">
        <v>1.0</v>
      </c>
    </row>
    <row r="4">
      <c r="B4" s="3" t="s">
        <v>12</v>
      </c>
      <c r="D4" s="3">
        <v>2.0</v>
      </c>
      <c r="E4" s="3">
        <v>1.0</v>
      </c>
      <c r="F4" s="3">
        <v>1.0</v>
      </c>
      <c r="G4" s="3" t="s">
        <v>15</v>
      </c>
      <c r="J4" s="3">
        <v>1.0</v>
      </c>
      <c r="K4" s="3">
        <v>1.0</v>
      </c>
    </row>
    <row r="5">
      <c r="B5" s="3" t="s">
        <v>43</v>
      </c>
      <c r="D5" s="3">
        <v>1.0</v>
      </c>
      <c r="E5" s="3">
        <v>2.0</v>
      </c>
      <c r="G5" s="3" t="s">
        <v>17</v>
      </c>
      <c r="I5" s="3">
        <v>2.0</v>
      </c>
    </row>
    <row r="6">
      <c r="B6" s="3" t="s">
        <v>18</v>
      </c>
      <c r="D6" s="3">
        <v>1.0</v>
      </c>
      <c r="E6" s="3">
        <v>2.0</v>
      </c>
      <c r="G6" s="3" t="s">
        <v>11</v>
      </c>
      <c r="I6" s="3">
        <v>1.0</v>
      </c>
      <c r="K6" s="3">
        <v>1.0</v>
      </c>
    </row>
    <row r="7">
      <c r="B7" s="3" t="s">
        <v>10</v>
      </c>
      <c r="D7" s="3">
        <v>2.0</v>
      </c>
      <c r="G7" s="3" t="s">
        <v>25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6</v>
      </c>
      <c r="G12" s="4" t="str">
        <f>IF(I12 &gt; D12, "W", IF(I12 &lt; D12, "L", "D"))
</f>
        <v>L</v>
      </c>
      <c r="H12" s="2"/>
      <c r="I12" s="2">
        <f>sum(I2:I11)</f>
        <v>3</v>
      </c>
      <c r="L12" s="3" t="s">
        <v>28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C2" s="3" t="s">
        <v>13</v>
      </c>
      <c r="D2" s="3">
        <v>4.0</v>
      </c>
      <c r="G2" s="3" t="s">
        <v>27</v>
      </c>
      <c r="H2" s="3" t="s">
        <v>13</v>
      </c>
    </row>
    <row r="3">
      <c r="B3" s="3" t="s">
        <v>20</v>
      </c>
      <c r="D3" s="3">
        <v>1.0</v>
      </c>
      <c r="E3" s="3">
        <v>2.0</v>
      </c>
      <c r="F3" s="3">
        <v>1.0</v>
      </c>
      <c r="G3" s="3" t="s">
        <v>16</v>
      </c>
      <c r="I3" s="3">
        <v>2.0</v>
      </c>
      <c r="J3" s="3">
        <v>1.0</v>
      </c>
      <c r="K3" s="3">
        <v>1.0</v>
      </c>
    </row>
    <row r="4">
      <c r="B4" s="3" t="s">
        <v>18</v>
      </c>
      <c r="D4" s="3">
        <v>1.0</v>
      </c>
      <c r="G4" s="3" t="s">
        <v>19</v>
      </c>
      <c r="J4" s="3">
        <v>2.0</v>
      </c>
    </row>
    <row r="5">
      <c r="B5" s="3" t="s">
        <v>22</v>
      </c>
      <c r="E5" s="3">
        <v>1.0</v>
      </c>
      <c r="F5" s="3">
        <v>1.0</v>
      </c>
      <c r="G5" s="3" t="s">
        <v>21</v>
      </c>
      <c r="I5" s="3">
        <v>3.0</v>
      </c>
      <c r="J5" s="3">
        <v>2.0</v>
      </c>
    </row>
    <row r="6">
      <c r="B6" s="3" t="s">
        <v>15</v>
      </c>
      <c r="D6" s="3">
        <v>1.0</v>
      </c>
      <c r="E6" s="3">
        <v>2.0</v>
      </c>
      <c r="G6" s="3" t="s">
        <v>52</v>
      </c>
      <c r="I6" s="3">
        <v>2.0</v>
      </c>
      <c r="J6" s="3">
        <v>2.0</v>
      </c>
    </row>
    <row r="7">
      <c r="B7" s="3" t="s">
        <v>35</v>
      </c>
      <c r="E7" s="3">
        <v>2.0</v>
      </c>
      <c r="G7" s="3" t="s">
        <v>17</v>
      </c>
      <c r="I7" s="3">
        <v>1.0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7</v>
      </c>
      <c r="G12" s="4" t="str">
        <f>IF(I12 &gt; D12, "W", IF(I12 &lt; D12, "L", "D"))
</f>
        <v>W</v>
      </c>
      <c r="H12" s="2"/>
      <c r="I12" s="2">
        <f>sum(I2:I11)</f>
        <v>8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16</v>
      </c>
      <c r="C2" s="3" t="s">
        <v>13</v>
      </c>
      <c r="D2" s="3">
        <v>3.0</v>
      </c>
      <c r="G2" s="3" t="s">
        <v>20</v>
      </c>
      <c r="H2" s="3" t="s">
        <v>13</v>
      </c>
      <c r="I2" s="3">
        <v>2.0</v>
      </c>
      <c r="J2" s="3">
        <v>3.0</v>
      </c>
      <c r="K2" s="3">
        <v>1.0</v>
      </c>
    </row>
    <row r="3">
      <c r="B3" s="3" t="s">
        <v>22</v>
      </c>
      <c r="G3" s="3" t="s">
        <v>11</v>
      </c>
      <c r="I3" s="3">
        <v>4.0</v>
      </c>
      <c r="J3" s="3">
        <v>2.0</v>
      </c>
    </row>
    <row r="4">
      <c r="B4" s="3" t="s">
        <v>12</v>
      </c>
      <c r="D4" s="3">
        <v>2.0</v>
      </c>
      <c r="E4" s="3">
        <v>1.0</v>
      </c>
      <c r="G4" s="3" t="s">
        <v>15</v>
      </c>
    </row>
    <row r="5">
      <c r="B5" s="3" t="s">
        <v>48</v>
      </c>
      <c r="D5" s="3">
        <v>1.0</v>
      </c>
      <c r="E5" s="3">
        <v>3.0</v>
      </c>
      <c r="G5" s="3" t="s">
        <v>19</v>
      </c>
      <c r="I5" s="3">
        <v>1.0</v>
      </c>
    </row>
    <row r="6">
      <c r="B6" s="3" t="s">
        <v>10</v>
      </c>
      <c r="D6" s="3">
        <v>1.0</v>
      </c>
      <c r="F6" s="3">
        <v>1.0</v>
      </c>
      <c r="G6" s="3" t="s">
        <v>43</v>
      </c>
      <c r="I6" s="3">
        <v>3.0</v>
      </c>
      <c r="J6" s="3">
        <v>2.0</v>
      </c>
    </row>
    <row r="7">
      <c r="B7" s="3" t="s">
        <v>17</v>
      </c>
      <c r="E7" s="3">
        <v>1.0</v>
      </c>
      <c r="G7" s="3" t="s">
        <v>25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7</v>
      </c>
      <c r="G12" s="4" t="str">
        <f>IF(I12 &gt; D12, "W", IF(I12 &lt; D12, "L", "D"))
</f>
        <v>W</v>
      </c>
      <c r="H12" s="2"/>
      <c r="I12" s="2">
        <f>sum(I2:I11)</f>
        <v>10</v>
      </c>
      <c r="L12" s="3" t="s">
        <v>37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10</v>
      </c>
      <c r="C2" s="3" t="s">
        <v>13</v>
      </c>
      <c r="D2" s="3">
        <v>3.0</v>
      </c>
      <c r="G2" s="3" t="s">
        <v>15</v>
      </c>
      <c r="H2" s="3" t="s">
        <v>13</v>
      </c>
      <c r="I2" s="3">
        <v>1.0</v>
      </c>
      <c r="J2" s="3">
        <v>1.0</v>
      </c>
      <c r="K2" s="3">
        <v>1.0</v>
      </c>
    </row>
    <row r="3">
      <c r="B3" s="3" t="s">
        <v>20</v>
      </c>
      <c r="D3" s="3">
        <v>2.0</v>
      </c>
      <c r="E3" s="3">
        <v>2.0</v>
      </c>
      <c r="G3" s="3" t="s">
        <v>12</v>
      </c>
    </row>
    <row r="4">
      <c r="B4" s="3" t="s">
        <v>35</v>
      </c>
      <c r="E4" s="3">
        <v>1.0</v>
      </c>
      <c r="G4" s="3" t="s">
        <v>43</v>
      </c>
      <c r="J4" s="3">
        <v>1.0</v>
      </c>
    </row>
    <row r="5">
      <c r="B5" s="3" t="s">
        <v>52</v>
      </c>
      <c r="D5" s="3">
        <v>1.0</v>
      </c>
      <c r="E5" s="3">
        <v>1.0</v>
      </c>
      <c r="G5" s="3" t="s">
        <v>27</v>
      </c>
    </row>
    <row r="6">
      <c r="B6" s="3" t="s">
        <v>19</v>
      </c>
      <c r="D6" s="3">
        <v>2.0</v>
      </c>
      <c r="E6" s="3">
        <v>3.0</v>
      </c>
      <c r="G6" s="3" t="s">
        <v>46</v>
      </c>
    </row>
    <row r="7">
      <c r="B7" s="3" t="s">
        <v>17</v>
      </c>
      <c r="D7" s="3">
        <v>1.0</v>
      </c>
      <c r="E7" s="3">
        <v>1.0</v>
      </c>
      <c r="G7" s="3" t="s">
        <v>21</v>
      </c>
      <c r="I7" s="3">
        <v>2.0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9</v>
      </c>
      <c r="G12" s="4" t="str">
        <f>IF(I12 &gt; D12, "W", IF(I12 &lt; D12, "L", "D"))
</f>
        <v>L</v>
      </c>
      <c r="H12" s="2"/>
      <c r="I12" s="2">
        <f>sum(I2:I11)</f>
        <v>3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25</v>
      </c>
      <c r="C2" s="3" t="s">
        <v>13</v>
      </c>
      <c r="F2" s="3">
        <v>1.0</v>
      </c>
      <c r="G2" s="3" t="s">
        <v>22</v>
      </c>
      <c r="H2" s="3" t="s">
        <v>13</v>
      </c>
    </row>
    <row r="3">
      <c r="B3" s="3" t="s">
        <v>12</v>
      </c>
      <c r="D3" s="3">
        <v>2.0</v>
      </c>
      <c r="G3" s="3" t="s">
        <v>21</v>
      </c>
      <c r="J3" s="3">
        <v>1.0</v>
      </c>
      <c r="K3" s="3">
        <v>1.0</v>
      </c>
    </row>
    <row r="4">
      <c r="B4" s="3" t="s">
        <v>17</v>
      </c>
      <c r="E4" s="3">
        <v>1.0</v>
      </c>
      <c r="G4" s="3" t="s">
        <v>11</v>
      </c>
      <c r="I4" s="3">
        <v>4.0</v>
      </c>
      <c r="J4" s="3">
        <v>1.0</v>
      </c>
    </row>
    <row r="5">
      <c r="B5" s="3" t="s">
        <v>10</v>
      </c>
      <c r="D5" s="3">
        <v>3.0</v>
      </c>
      <c r="E5" s="3">
        <v>1.0</v>
      </c>
      <c r="G5" s="3" t="s">
        <v>48</v>
      </c>
    </row>
    <row r="6">
      <c r="B6" s="3" t="s">
        <v>15</v>
      </c>
      <c r="D6" s="3">
        <v>3.0</v>
      </c>
      <c r="F6" s="3">
        <v>1.0</v>
      </c>
      <c r="G6" s="3" t="s">
        <v>20</v>
      </c>
      <c r="I6" s="3">
        <v>1.0</v>
      </c>
      <c r="K6" s="3">
        <v>1.0</v>
      </c>
    </row>
    <row r="7">
      <c r="B7" s="3" t="s">
        <v>19</v>
      </c>
      <c r="D7" s="3">
        <v>1.0</v>
      </c>
      <c r="E7" s="3">
        <v>2.0</v>
      </c>
      <c r="F7" s="3">
        <v>1.0</v>
      </c>
      <c r="G7" s="3" t="s">
        <v>43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9</v>
      </c>
      <c r="G12" s="4" t="str">
        <f>IF(I12 &gt; D12, "W", IF(I12 &lt; D12, "L", "D"))
</f>
        <v>L</v>
      </c>
      <c r="H12" s="2"/>
      <c r="I12" s="2">
        <f>sum(I2:I11)</f>
        <v>5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43</v>
      </c>
      <c r="C2" s="3" t="s">
        <v>13</v>
      </c>
      <c r="D2" s="3">
        <v>1.0</v>
      </c>
      <c r="E2" s="3">
        <v>3.0</v>
      </c>
      <c r="G2" s="3" t="s">
        <v>11</v>
      </c>
      <c r="H2" s="3" t="s">
        <v>13</v>
      </c>
      <c r="I2" s="3">
        <v>3.0</v>
      </c>
      <c r="J2" s="3">
        <v>1.0</v>
      </c>
    </row>
    <row r="3">
      <c r="B3" s="3" t="s">
        <v>12</v>
      </c>
      <c r="D3" s="3">
        <v>3.0</v>
      </c>
      <c r="F3" s="3">
        <v>1.0</v>
      </c>
      <c r="G3" s="3" t="s">
        <v>20</v>
      </c>
      <c r="J3" s="3">
        <v>1.0</v>
      </c>
    </row>
    <row r="4">
      <c r="B4" s="3" t="s">
        <v>19</v>
      </c>
      <c r="D4" s="3">
        <v>1.0</v>
      </c>
      <c r="E4" s="3">
        <v>1.0</v>
      </c>
      <c r="G4" s="3" t="s">
        <v>46</v>
      </c>
      <c r="K4" s="3">
        <v>2.0</v>
      </c>
    </row>
    <row r="5">
      <c r="B5" s="3" t="s">
        <v>10</v>
      </c>
      <c r="D5" s="3">
        <v>2.0</v>
      </c>
      <c r="G5" s="3" t="s">
        <v>22</v>
      </c>
    </row>
    <row r="6">
      <c r="B6" s="3" t="s">
        <v>17</v>
      </c>
      <c r="G6" s="3" t="s">
        <v>53</v>
      </c>
      <c r="I6" s="3">
        <v>1.0</v>
      </c>
    </row>
    <row r="7">
      <c r="B7" s="3" t="s">
        <v>54</v>
      </c>
      <c r="E7" s="3">
        <v>1.0</v>
      </c>
      <c r="G7" s="3" t="s">
        <v>15</v>
      </c>
      <c r="I7" s="3">
        <v>1.0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7</v>
      </c>
      <c r="G12" s="4" t="str">
        <f>IF(I12 &gt; D12, "W", IF(I12 &lt; D12, "L", "D"))
</f>
        <v>L</v>
      </c>
      <c r="H12" s="2"/>
      <c r="I12" s="2">
        <f>sum(I2:I11)</f>
        <v>5</v>
      </c>
      <c r="L12" s="3" t="s">
        <v>55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Mac,OG,Dan,Jacob,Sean,Sinan,JPH,Marcus,Thorny,Davis,Akshay"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19</v>
      </c>
      <c r="C2" s="3" t="s">
        <v>13</v>
      </c>
      <c r="D2" s="3">
        <v>2.0</v>
      </c>
      <c r="E2" s="3">
        <v>2.0</v>
      </c>
      <c r="G2" s="3" t="s">
        <v>27</v>
      </c>
      <c r="H2" s="3" t="s">
        <v>13</v>
      </c>
      <c r="I2" s="3">
        <v>1.0</v>
      </c>
    </row>
    <row r="3">
      <c r="B3" s="3" t="s">
        <v>17</v>
      </c>
      <c r="D3" s="3">
        <v>2.0</v>
      </c>
      <c r="E3" s="3">
        <v>1.0</v>
      </c>
      <c r="G3" s="3" t="s">
        <v>15</v>
      </c>
      <c r="I3" s="3">
        <v>3.0</v>
      </c>
    </row>
    <row r="4">
      <c r="B4" s="3" t="s">
        <v>10</v>
      </c>
      <c r="D4" s="3">
        <v>2.0</v>
      </c>
      <c r="G4" s="3" t="s">
        <v>20</v>
      </c>
      <c r="I4" s="3">
        <v>1.0</v>
      </c>
      <c r="J4" s="3">
        <v>3.0</v>
      </c>
    </row>
    <row r="5">
      <c r="B5" s="3" t="s">
        <v>16</v>
      </c>
      <c r="D5" s="3">
        <v>2.0</v>
      </c>
      <c r="E5" s="3">
        <v>2.0</v>
      </c>
      <c r="G5" s="3" t="s">
        <v>22</v>
      </c>
      <c r="J5" s="3">
        <v>1.0</v>
      </c>
      <c r="K5" s="3">
        <v>1.0</v>
      </c>
    </row>
    <row r="6">
      <c r="B6" s="3" t="s">
        <v>25</v>
      </c>
      <c r="G6" s="3" t="s">
        <v>35</v>
      </c>
      <c r="I6" s="3">
        <v>3.0</v>
      </c>
      <c r="J6" s="3">
        <v>1.0</v>
      </c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8</v>
      </c>
      <c r="G12" s="4" t="str">
        <f>IF(I12 &gt; D12, "W", IF(I12 &lt; D12, "L", "D"))
</f>
        <v>D</v>
      </c>
      <c r="H12" s="2"/>
      <c r="I12" s="2">
        <f>sum(I2:I11)</f>
        <v>8</v>
      </c>
      <c r="L12" s="3" t="s">
        <v>37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5.0</v>
      </c>
      <c r="G2" s="3" t="s">
        <v>38</v>
      </c>
      <c r="I2" s="3">
        <v>2.0</v>
      </c>
      <c r="J2" s="3">
        <v>1.0</v>
      </c>
    </row>
    <row r="3">
      <c r="B3" s="3" t="s">
        <v>17</v>
      </c>
      <c r="C3" s="3" t="s">
        <v>13</v>
      </c>
      <c r="D3" s="3">
        <v>1.0</v>
      </c>
      <c r="E3" s="3">
        <v>3.0</v>
      </c>
      <c r="G3" s="3" t="s">
        <v>21</v>
      </c>
      <c r="H3" s="3" t="s">
        <v>13</v>
      </c>
      <c r="J3" s="3">
        <v>1.0</v>
      </c>
    </row>
    <row r="4">
      <c r="B4" s="3" t="s">
        <v>19</v>
      </c>
      <c r="E4" s="3">
        <v>1.0</v>
      </c>
      <c r="G4" s="3" t="s">
        <v>20</v>
      </c>
      <c r="I4" s="3">
        <v>2.0</v>
      </c>
    </row>
    <row r="5">
      <c r="B5" s="3" t="s">
        <v>16</v>
      </c>
      <c r="D5" s="3">
        <v>1.0</v>
      </c>
      <c r="E5" s="3">
        <v>3.0</v>
      </c>
      <c r="F5" s="3">
        <v>2.0</v>
      </c>
      <c r="G5" s="3" t="s">
        <v>10</v>
      </c>
      <c r="I5" s="3">
        <v>1.0</v>
      </c>
      <c r="J5" s="3">
        <v>1.0</v>
      </c>
    </row>
    <row r="6">
      <c r="B6" s="3" t="s">
        <v>54</v>
      </c>
      <c r="E6" s="3">
        <v>1.0</v>
      </c>
      <c r="G6" s="3" t="s">
        <v>27</v>
      </c>
    </row>
    <row r="7">
      <c r="B7" s="3" t="s">
        <v>43</v>
      </c>
      <c r="D7" s="3">
        <v>2.0</v>
      </c>
      <c r="G7" s="3" t="s">
        <v>15</v>
      </c>
      <c r="K7" s="3">
        <v>1.0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9</v>
      </c>
      <c r="G12" s="4" t="str">
        <f>IF(I12 &gt; D12, "W", IF(I12 &lt; D12, "L", "D"))
</f>
        <v>L</v>
      </c>
      <c r="H12" s="2"/>
      <c r="I12" s="2">
        <f>sum(I2:I11)</f>
        <v>5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Mac,OG,Dan,Jacob,Sean,Sinan,JPH,Marcus,Thorny,Davis,Akshay"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3.0</v>
      </c>
      <c r="G2" s="3" t="s">
        <v>38</v>
      </c>
      <c r="H2" s="3" t="s">
        <v>13</v>
      </c>
      <c r="I2" s="3">
        <v>3.0</v>
      </c>
      <c r="J2" s="3">
        <v>1.0</v>
      </c>
    </row>
    <row r="3">
      <c r="B3" s="3" t="s">
        <v>23</v>
      </c>
      <c r="C3" s="3" t="s">
        <v>13</v>
      </c>
      <c r="G3" s="3" t="s">
        <v>15</v>
      </c>
      <c r="I3" s="3">
        <v>2.0</v>
      </c>
      <c r="J3" s="3">
        <v>1.0</v>
      </c>
    </row>
    <row r="4">
      <c r="B4" s="3" t="s">
        <v>19</v>
      </c>
      <c r="D4" s="3">
        <v>1.0</v>
      </c>
      <c r="E4" s="3">
        <v>3.0</v>
      </c>
      <c r="G4" s="3" t="s">
        <v>20</v>
      </c>
      <c r="K4" s="3">
        <v>1.0</v>
      </c>
    </row>
    <row r="5">
      <c r="B5" s="3" t="s">
        <v>10</v>
      </c>
      <c r="D5" s="3">
        <v>3.0</v>
      </c>
      <c r="F5" s="3">
        <v>1.0</v>
      </c>
      <c r="G5" s="3" t="s">
        <v>22</v>
      </c>
      <c r="K5" s="3">
        <v>1.0</v>
      </c>
    </row>
    <row r="6">
      <c r="B6" s="3" t="s">
        <v>17</v>
      </c>
      <c r="G6" s="3" t="s">
        <v>56</v>
      </c>
      <c r="I6" s="3">
        <v>1.0</v>
      </c>
    </row>
    <row r="7">
      <c r="B7" s="3" t="s">
        <v>21</v>
      </c>
      <c r="G7" s="3" t="s">
        <v>43</v>
      </c>
      <c r="I7" s="3">
        <v>2.0</v>
      </c>
      <c r="J7" s="3">
        <v>2.0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7</v>
      </c>
      <c r="G12" s="4" t="str">
        <f>IF(I12 &gt; D12, "W", IF(I12 &lt; D12, "L", "D"))
</f>
        <v>W</v>
      </c>
      <c r="H12" s="2"/>
      <c r="I12" s="2">
        <f>sum(I2:I11)</f>
        <v>8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19</v>
      </c>
      <c r="C2" s="3" t="s">
        <v>13</v>
      </c>
      <c r="D2" s="3">
        <v>3.0</v>
      </c>
      <c r="E2" s="3">
        <v>2.0</v>
      </c>
      <c r="G2" s="3" t="s">
        <v>12</v>
      </c>
      <c r="H2" s="3" t="s">
        <v>13</v>
      </c>
      <c r="I2" s="3">
        <v>1.0</v>
      </c>
      <c r="J2" s="3">
        <v>4.0</v>
      </c>
    </row>
    <row r="3">
      <c r="B3" s="3" t="s">
        <v>16</v>
      </c>
      <c r="D3" s="3">
        <v>3.0</v>
      </c>
      <c r="F3" s="3">
        <v>1.0</v>
      </c>
      <c r="G3" s="3" t="s">
        <v>20</v>
      </c>
      <c r="I3" s="3">
        <v>4.0</v>
      </c>
      <c r="J3" s="3">
        <v>2.0</v>
      </c>
    </row>
    <row r="4">
      <c r="B4" s="3" t="s">
        <v>43</v>
      </c>
      <c r="D4" s="3">
        <v>1.0</v>
      </c>
      <c r="E4" s="3">
        <v>1.0</v>
      </c>
      <c r="G4" s="3" t="s">
        <v>27</v>
      </c>
      <c r="I4" s="3">
        <v>1.0</v>
      </c>
    </row>
    <row r="5">
      <c r="B5" s="3" t="s">
        <v>33</v>
      </c>
      <c r="E5" s="3">
        <v>1.0</v>
      </c>
      <c r="F5" s="3">
        <v>1.0</v>
      </c>
      <c r="G5" s="3" t="s">
        <v>23</v>
      </c>
    </row>
    <row r="6">
      <c r="B6" s="3" t="s">
        <v>35</v>
      </c>
      <c r="D6" s="3">
        <v>1.0</v>
      </c>
      <c r="E6" s="3">
        <v>2.0</v>
      </c>
      <c r="G6" s="3" t="s">
        <v>15</v>
      </c>
      <c r="I6" s="3">
        <v>2.0</v>
      </c>
    </row>
    <row r="7">
      <c r="B7" s="3" t="s">
        <v>22</v>
      </c>
      <c r="E7" s="3">
        <v>1.0</v>
      </c>
      <c r="G7" s="3" t="s">
        <v>17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8</v>
      </c>
      <c r="G12" s="4" t="str">
        <f>IF(I12 &gt; D12, "W", IF(I12 &lt; D12, "L", "D"))
</f>
        <v>D</v>
      </c>
      <c r="H12" s="2"/>
      <c r="I12" s="2">
        <f>sum(I2:I11)</f>
        <v>8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52</v>
      </c>
      <c r="C2" s="3" t="s">
        <v>13</v>
      </c>
      <c r="D2" s="3">
        <v>1.0</v>
      </c>
      <c r="F2" s="3">
        <v>1.0</v>
      </c>
      <c r="G2" s="3" t="s">
        <v>35</v>
      </c>
      <c r="H2" s="3" t="s">
        <v>13</v>
      </c>
      <c r="I2" s="3">
        <v>2.0</v>
      </c>
    </row>
    <row r="3">
      <c r="B3" s="3" t="s">
        <v>12</v>
      </c>
      <c r="D3" s="3">
        <v>1.0</v>
      </c>
      <c r="E3" s="3">
        <v>1.0</v>
      </c>
      <c r="G3" s="3" t="s">
        <v>43</v>
      </c>
      <c r="I3" s="3">
        <v>1.0</v>
      </c>
      <c r="J3" s="3">
        <v>2.0</v>
      </c>
    </row>
    <row r="4">
      <c r="B4" s="3" t="s">
        <v>10</v>
      </c>
      <c r="E4" s="3">
        <v>3.0</v>
      </c>
      <c r="G4" s="3" t="s">
        <v>16</v>
      </c>
      <c r="I4" s="3">
        <v>3.0</v>
      </c>
      <c r="J4" s="3">
        <v>2.0</v>
      </c>
      <c r="K4" s="3">
        <v>1.0</v>
      </c>
    </row>
    <row r="5">
      <c r="B5" s="3" t="s">
        <v>21</v>
      </c>
      <c r="D5" s="3">
        <v>2.0</v>
      </c>
      <c r="G5" s="3" t="s">
        <v>23</v>
      </c>
    </row>
    <row r="6">
      <c r="B6" s="3" t="s">
        <v>14</v>
      </c>
      <c r="F6" s="3">
        <v>1.0</v>
      </c>
      <c r="G6" s="3" t="s">
        <v>15</v>
      </c>
      <c r="I6" s="3">
        <v>2.0</v>
      </c>
    </row>
    <row r="7">
      <c r="B7" s="3" t="s">
        <v>20</v>
      </c>
      <c r="D7" s="3">
        <v>2.0</v>
      </c>
      <c r="E7" s="3">
        <v>2.0</v>
      </c>
      <c r="G7" s="3" t="s">
        <v>27</v>
      </c>
      <c r="I7" s="3">
        <v>2.0</v>
      </c>
      <c r="J7" s="3">
        <v>2.0</v>
      </c>
    </row>
    <row r="8">
      <c r="B8" s="3" t="s">
        <v>29</v>
      </c>
      <c r="D8" s="3">
        <v>1.0</v>
      </c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7</v>
      </c>
      <c r="G12" s="4" t="str">
        <f>IF(I12 &gt; D12, "W", IF(I12 &lt; D12, "L", "D"))
</f>
        <v>W</v>
      </c>
      <c r="H12" s="2"/>
      <c r="I12" s="2">
        <f>sum(I2:I11)</f>
        <v>10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C2" s="3" t="s">
        <v>13</v>
      </c>
      <c r="D2" s="3">
        <v>1.0</v>
      </c>
      <c r="E2" s="3">
        <v>3.0</v>
      </c>
      <c r="F2" s="3">
        <v>1.0</v>
      </c>
      <c r="G2" s="3" t="s">
        <v>43</v>
      </c>
      <c r="H2" s="3" t="s">
        <v>13</v>
      </c>
      <c r="I2" s="3">
        <v>1.0</v>
      </c>
      <c r="J2" s="3">
        <v>3.0</v>
      </c>
    </row>
    <row r="3">
      <c r="B3" s="3" t="s">
        <v>52</v>
      </c>
      <c r="D3" s="3">
        <v>1.0</v>
      </c>
      <c r="E3" s="3">
        <v>2.0</v>
      </c>
      <c r="G3" s="3" t="s">
        <v>16</v>
      </c>
      <c r="I3" s="3">
        <v>3.0</v>
      </c>
      <c r="J3" s="3">
        <v>1.0</v>
      </c>
    </row>
    <row r="4">
      <c r="B4" s="3" t="s">
        <v>27</v>
      </c>
      <c r="D4" s="3">
        <v>4.0</v>
      </c>
      <c r="E4" s="3">
        <v>1.0</v>
      </c>
      <c r="G4" s="3" t="s">
        <v>15</v>
      </c>
      <c r="I4" s="3">
        <v>2.0</v>
      </c>
    </row>
    <row r="5">
      <c r="B5" s="3" t="s">
        <v>10</v>
      </c>
      <c r="D5" s="3">
        <v>3.0</v>
      </c>
      <c r="E5" s="3">
        <v>1.0</v>
      </c>
      <c r="G5" s="3" t="s">
        <v>19</v>
      </c>
      <c r="J5" s="3">
        <v>1.0</v>
      </c>
    </row>
    <row r="6">
      <c r="B6" s="3" t="s">
        <v>17</v>
      </c>
      <c r="D6" s="3">
        <v>1.0</v>
      </c>
      <c r="E6" s="3">
        <v>1.0</v>
      </c>
      <c r="G6" s="3" t="s">
        <v>57</v>
      </c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10</v>
      </c>
      <c r="G12" s="4" t="str">
        <f>IF(I12 &gt; D12, "W", IF(I12 &lt; D12, "L", "D"))
</f>
        <v>L</v>
      </c>
      <c r="H12" s="2"/>
      <c r="I12" s="2">
        <f>sum(I2:I11)</f>
        <v>6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17</v>
      </c>
      <c r="C2" s="3" t="s">
        <v>13</v>
      </c>
      <c r="E2" s="3">
        <v>1.0</v>
      </c>
      <c r="F2" s="3">
        <v>1.0</v>
      </c>
      <c r="G2" s="3" t="s">
        <v>10</v>
      </c>
      <c r="H2" s="3" t="s">
        <v>13</v>
      </c>
      <c r="I2" s="3">
        <v>3.0</v>
      </c>
      <c r="K2" s="3">
        <v>1.0</v>
      </c>
    </row>
    <row r="3">
      <c r="B3" s="3" t="s">
        <v>43</v>
      </c>
      <c r="D3" s="3">
        <v>2.0</v>
      </c>
      <c r="E3" s="3">
        <v>1.0</v>
      </c>
      <c r="G3" s="3" t="s">
        <v>56</v>
      </c>
      <c r="I3" s="3">
        <v>1.0</v>
      </c>
    </row>
    <row r="4">
      <c r="B4" s="3" t="s">
        <v>14</v>
      </c>
      <c r="E4" s="3">
        <v>4.0</v>
      </c>
      <c r="G4" s="3" t="s">
        <v>15</v>
      </c>
      <c r="I4" s="3">
        <v>1.0</v>
      </c>
    </row>
    <row r="5">
      <c r="B5" s="3" t="s">
        <v>12</v>
      </c>
      <c r="D5" s="3">
        <v>3.0</v>
      </c>
      <c r="F5" s="3">
        <v>1.0</v>
      </c>
      <c r="G5" s="3" t="s">
        <v>20</v>
      </c>
      <c r="J5" s="3">
        <v>1.0</v>
      </c>
      <c r="K5" s="3">
        <v>1.0</v>
      </c>
    </row>
    <row r="6">
      <c r="B6" s="3" t="s">
        <v>38</v>
      </c>
      <c r="D6" s="3">
        <v>1.0</v>
      </c>
      <c r="G6" s="3" t="s">
        <v>19</v>
      </c>
      <c r="J6" s="3">
        <v>3.0</v>
      </c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6</v>
      </c>
      <c r="G12" s="4" t="str">
        <f>IF(I12 &gt; D12, "W", IF(I12 &lt; D12, "L", "D"))
</f>
        <v>L</v>
      </c>
      <c r="H12" s="2"/>
      <c r="I12" s="2">
        <f>sum(I2:I11)</f>
        <v>5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D2" s="3">
        <v>2.0</v>
      </c>
      <c r="E2" s="3">
        <v>2.0</v>
      </c>
      <c r="F2" s="3">
        <v>1.0</v>
      </c>
      <c r="G2" s="3" t="s">
        <v>19</v>
      </c>
      <c r="H2" s="3" t="s">
        <v>13</v>
      </c>
      <c r="I2" s="3">
        <v>1.0</v>
      </c>
    </row>
    <row r="3">
      <c r="B3" s="3" t="s">
        <v>27</v>
      </c>
      <c r="C3" s="3" t="s">
        <v>13</v>
      </c>
      <c r="D3" s="3">
        <v>3.0</v>
      </c>
      <c r="F3" s="3">
        <v>1.0</v>
      </c>
      <c r="G3" s="3" t="s">
        <v>22</v>
      </c>
    </row>
    <row r="4">
      <c r="B4" s="3" t="s">
        <v>43</v>
      </c>
      <c r="D4" s="3">
        <v>2.0</v>
      </c>
      <c r="E4" s="3">
        <v>4.0</v>
      </c>
      <c r="G4" s="3" t="s">
        <v>14</v>
      </c>
      <c r="J4" s="3">
        <v>1.0</v>
      </c>
    </row>
    <row r="5">
      <c r="B5" s="3" t="s">
        <v>25</v>
      </c>
      <c r="D5" s="3">
        <v>1.0</v>
      </c>
      <c r="F5" s="3">
        <v>1.0</v>
      </c>
      <c r="G5" s="3" t="s">
        <v>10</v>
      </c>
    </row>
    <row r="6">
      <c r="B6" s="3" t="s">
        <v>17</v>
      </c>
      <c r="E6" s="3">
        <v>1.0</v>
      </c>
      <c r="F6" s="3">
        <v>1.0</v>
      </c>
      <c r="G6" s="3" t="s">
        <v>15</v>
      </c>
    </row>
    <row r="7">
      <c r="B7" s="3" t="s">
        <v>35</v>
      </c>
      <c r="D7" s="3">
        <v>2.0</v>
      </c>
      <c r="F7" s="3">
        <v>1.0</v>
      </c>
      <c r="G7" s="3" t="s">
        <v>20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10</v>
      </c>
      <c r="G12" s="4" t="str">
        <f>IF(I12 &gt; D12, "W", IF(I12 &lt; D12, "L", "D"))
</f>
        <v>L</v>
      </c>
      <c r="H12" s="2"/>
      <c r="I12" s="2">
        <f>sum(I2:I11)</f>
        <v>1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15</v>
      </c>
      <c r="C2" s="3" t="s">
        <v>13</v>
      </c>
      <c r="D2" s="3">
        <v>2.0</v>
      </c>
      <c r="E2" s="3">
        <v>2.0</v>
      </c>
      <c r="G2" s="3" t="s">
        <v>14</v>
      </c>
      <c r="H2" s="3" t="s">
        <v>13</v>
      </c>
    </row>
    <row r="3">
      <c r="B3" s="3" t="s">
        <v>12</v>
      </c>
      <c r="D3" s="3">
        <v>5.0</v>
      </c>
      <c r="E3" s="3">
        <v>2.0</v>
      </c>
      <c r="G3" s="3" t="s">
        <v>16</v>
      </c>
    </row>
    <row r="4">
      <c r="B4" s="3" t="s">
        <v>20</v>
      </c>
      <c r="D4" s="3">
        <v>2.0</v>
      </c>
      <c r="E4" s="3">
        <v>2.0</v>
      </c>
      <c r="F4" s="3">
        <v>1.0</v>
      </c>
      <c r="G4" s="3" t="s">
        <v>48</v>
      </c>
    </row>
    <row r="5">
      <c r="B5" s="3" t="s">
        <v>33</v>
      </c>
      <c r="G5" s="3" t="s">
        <v>10</v>
      </c>
    </row>
    <row r="6">
      <c r="B6" s="3" t="s">
        <v>25</v>
      </c>
      <c r="F6" s="3">
        <v>1.0</v>
      </c>
      <c r="G6" s="3" t="s">
        <v>53</v>
      </c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9</v>
      </c>
      <c r="G12" s="4" t="str">
        <f>IF(I12 &gt; D12, "W", IF(I12 &lt; D12, "L", "D"))
</f>
        <v>L</v>
      </c>
      <c r="H12" s="2"/>
      <c r="I12" s="2">
        <f>sum(I2:I11)</f>
        <v>0</v>
      </c>
      <c r="L12" s="3" t="s">
        <v>28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43</v>
      </c>
      <c r="C2" s="3"/>
      <c r="D2" s="3">
        <v>1.0</v>
      </c>
      <c r="E2" s="3">
        <v>2.0</v>
      </c>
      <c r="G2" s="3" t="s">
        <v>22</v>
      </c>
      <c r="H2" s="3" t="s">
        <v>13</v>
      </c>
      <c r="J2" s="3">
        <v>1.0</v>
      </c>
    </row>
    <row r="3">
      <c r="B3" s="3" t="s">
        <v>40</v>
      </c>
      <c r="G3" s="3" t="s">
        <v>12</v>
      </c>
      <c r="I3" s="3">
        <v>1.0</v>
      </c>
      <c r="J3" s="3">
        <v>2.0</v>
      </c>
      <c r="K3" s="3">
        <v>1.0</v>
      </c>
    </row>
    <row r="4">
      <c r="B4" s="3" t="s">
        <v>14</v>
      </c>
      <c r="E4" s="3">
        <v>2.0</v>
      </c>
      <c r="G4" s="3" t="s">
        <v>19</v>
      </c>
      <c r="I4" s="3">
        <v>1.0</v>
      </c>
    </row>
    <row r="5">
      <c r="B5" s="3" t="s">
        <v>25</v>
      </c>
      <c r="G5" s="3" t="s">
        <v>33</v>
      </c>
      <c r="I5" s="3">
        <v>1.0</v>
      </c>
    </row>
    <row r="6">
      <c r="B6" s="3" t="s">
        <v>10</v>
      </c>
      <c r="D6" s="3">
        <v>3.0</v>
      </c>
      <c r="G6" s="3" t="s">
        <v>17</v>
      </c>
      <c r="I6" s="3">
        <v>1.0</v>
      </c>
      <c r="J6" s="3">
        <v>1.0</v>
      </c>
      <c r="K6" s="3">
        <v>1.0</v>
      </c>
    </row>
    <row r="7">
      <c r="B7" s="3" t="s">
        <v>18</v>
      </c>
      <c r="F7" s="3">
        <v>2.0</v>
      </c>
      <c r="G7" s="3" t="s">
        <v>29</v>
      </c>
      <c r="I7" s="3">
        <v>1.0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4</v>
      </c>
      <c r="G12" s="4" t="str">
        <f>IF(I12 &gt; D12, "W", IF(I12 &lt; D12, "L", "D"))
</f>
        <v>W</v>
      </c>
      <c r="H12" s="2"/>
      <c r="I12" s="2">
        <f>sum(I2:I11)</f>
        <v>5</v>
      </c>
      <c r="L12" s="3" t="s">
        <v>37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20</v>
      </c>
      <c r="C2" s="3" t="s">
        <v>13</v>
      </c>
      <c r="E2" s="3">
        <v>1.0</v>
      </c>
      <c r="G2" s="3" t="s">
        <v>16</v>
      </c>
      <c r="H2" s="3" t="s">
        <v>13</v>
      </c>
      <c r="I2" s="3">
        <v>1.0</v>
      </c>
      <c r="J2" s="3">
        <v>1.0</v>
      </c>
      <c r="K2" s="3">
        <v>1.0</v>
      </c>
    </row>
    <row r="3">
      <c r="B3" s="3" t="s">
        <v>58</v>
      </c>
      <c r="D3" s="3">
        <v>1.0</v>
      </c>
      <c r="F3" s="3">
        <v>1.0</v>
      </c>
      <c r="G3" s="3" t="s">
        <v>22</v>
      </c>
    </row>
    <row r="4">
      <c r="B4" s="3" t="s">
        <v>10</v>
      </c>
      <c r="E4" s="3">
        <v>1.0</v>
      </c>
      <c r="F4" s="3">
        <v>1.0</v>
      </c>
      <c r="G4" s="3" t="s">
        <v>33</v>
      </c>
    </row>
    <row r="5">
      <c r="B5" s="3" t="s">
        <v>15</v>
      </c>
      <c r="D5" s="3">
        <v>2.0</v>
      </c>
      <c r="F5" s="3">
        <v>1.0</v>
      </c>
      <c r="G5" s="3" t="s">
        <v>35</v>
      </c>
    </row>
    <row r="6">
      <c r="B6" s="3" t="s">
        <v>19</v>
      </c>
      <c r="D6" s="3">
        <v>1.0</v>
      </c>
      <c r="G6" s="3" t="s">
        <v>14</v>
      </c>
    </row>
    <row r="7">
      <c r="B7" s="3" t="s">
        <v>25</v>
      </c>
      <c r="G7" s="3" t="s">
        <v>52</v>
      </c>
    </row>
    <row r="8">
      <c r="B8" s="3" t="s">
        <v>17</v>
      </c>
      <c r="E8" s="3">
        <v>1.0</v>
      </c>
      <c r="F8" s="3">
        <v>1.0</v>
      </c>
      <c r="G8" s="3" t="s">
        <v>27</v>
      </c>
      <c r="J8" s="3">
        <v>1.0</v>
      </c>
    </row>
    <row r="9">
      <c r="B9" s="3" t="s">
        <v>29</v>
      </c>
      <c r="D9" s="3">
        <v>1.0</v>
      </c>
      <c r="G9" s="3" t="s">
        <v>29</v>
      </c>
      <c r="I9" s="3">
        <v>1.0</v>
      </c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5</v>
      </c>
      <c r="G12" s="4" t="str">
        <f>IF(I12 &gt; D12, "W", IF(I12 &lt; D12, "L", "D"))
</f>
        <v>L</v>
      </c>
      <c r="H12" s="2"/>
      <c r="I12" s="2">
        <f>sum(I2:I11)</f>
        <v>2</v>
      </c>
      <c r="L12" s="3" t="s">
        <v>37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21</v>
      </c>
      <c r="C2" s="3" t="s">
        <v>13</v>
      </c>
      <c r="D2" s="3">
        <v>2.0</v>
      </c>
      <c r="E2" s="3">
        <v>2.0</v>
      </c>
      <c r="G2" s="3" t="s">
        <v>25</v>
      </c>
      <c r="H2" s="3" t="s">
        <v>13</v>
      </c>
    </row>
    <row r="3">
      <c r="B3" s="3" t="s">
        <v>16</v>
      </c>
      <c r="D3" s="3">
        <v>2.0</v>
      </c>
      <c r="E3" s="3">
        <v>3.0</v>
      </c>
      <c r="G3" s="3" t="s">
        <v>20</v>
      </c>
      <c r="I3" s="3">
        <v>5.0</v>
      </c>
      <c r="J3" s="3">
        <v>1.0</v>
      </c>
    </row>
    <row r="4">
      <c r="B4" s="3" t="s">
        <v>33</v>
      </c>
      <c r="D4" s="3">
        <v>1.0</v>
      </c>
      <c r="G4" s="3" t="s">
        <v>43</v>
      </c>
      <c r="I4" s="3">
        <v>3.0</v>
      </c>
      <c r="J4" s="3">
        <v>2.0</v>
      </c>
      <c r="K4" s="3">
        <v>1.0</v>
      </c>
    </row>
    <row r="5">
      <c r="B5" s="3" t="s">
        <v>18</v>
      </c>
      <c r="F5" s="3">
        <v>1.0</v>
      </c>
      <c r="G5" s="3" t="s">
        <v>14</v>
      </c>
      <c r="I5" s="3">
        <v>1.0</v>
      </c>
      <c r="J5" s="3">
        <v>1.0</v>
      </c>
    </row>
    <row r="6">
      <c r="B6" s="3" t="s">
        <v>35</v>
      </c>
      <c r="D6" s="3">
        <v>6.0</v>
      </c>
      <c r="E6" s="3">
        <v>2.0</v>
      </c>
      <c r="G6" s="3" t="s">
        <v>15</v>
      </c>
      <c r="I6" s="3"/>
      <c r="J6" s="3">
        <v>4.0</v>
      </c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11</v>
      </c>
      <c r="G12" s="4" t="str">
        <f>IF(I12 &gt; D12, "W", IF(I12 &lt; D12, "L", "D"))
</f>
        <v>L</v>
      </c>
      <c r="H12" s="2"/>
      <c r="I12" s="2">
        <f>sum(I2:I11)</f>
        <v>9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12</v>
      </c>
      <c r="C2" s="3" t="s">
        <v>13</v>
      </c>
      <c r="D2" s="3">
        <v>1.0</v>
      </c>
      <c r="E2" s="3">
        <v>2.0</v>
      </c>
      <c r="G2" s="3" t="s">
        <v>20</v>
      </c>
      <c r="H2" s="3" t="s">
        <v>13</v>
      </c>
      <c r="I2" s="3">
        <v>1.0</v>
      </c>
    </row>
    <row r="3">
      <c r="B3" s="3" t="s">
        <v>52</v>
      </c>
      <c r="D3" s="3">
        <v>1.0</v>
      </c>
      <c r="F3" s="3">
        <v>1.0</v>
      </c>
      <c r="G3" s="3" t="s">
        <v>16</v>
      </c>
      <c r="I3" s="3">
        <v>1.0</v>
      </c>
    </row>
    <row r="4">
      <c r="B4" s="3" t="s">
        <v>19</v>
      </c>
      <c r="D4" s="3">
        <v>2.0</v>
      </c>
      <c r="E4" s="3">
        <v>1.0</v>
      </c>
      <c r="F4" s="3">
        <v>1.0</v>
      </c>
      <c r="G4" s="3" t="s">
        <v>18</v>
      </c>
      <c r="I4" s="3">
        <v>3.0</v>
      </c>
    </row>
    <row r="5">
      <c r="B5" s="3" t="s">
        <v>27</v>
      </c>
      <c r="G5" s="3" t="s">
        <v>33</v>
      </c>
      <c r="J5" s="3">
        <v>1.0</v>
      </c>
    </row>
    <row r="6">
      <c r="B6" s="3" t="s">
        <v>43</v>
      </c>
      <c r="D6" s="3">
        <v>1.0</v>
      </c>
      <c r="E6" s="3">
        <v>2.0</v>
      </c>
      <c r="G6" s="4"/>
      <c r="J6" s="3">
        <v>1.0</v>
      </c>
      <c r="K6" s="3">
        <v>1.0</v>
      </c>
      <c r="L6" s="3" t="s">
        <v>59</v>
      </c>
    </row>
    <row r="7">
      <c r="B7" s="3" t="s">
        <v>22</v>
      </c>
      <c r="D7" s="3">
        <v>1.0</v>
      </c>
      <c r="G7" s="3" t="s">
        <v>10</v>
      </c>
      <c r="I7" s="3">
        <v>1.0</v>
      </c>
      <c r="J7" s="3">
        <v>1.0</v>
      </c>
      <c r="K7" s="3">
        <v>1.0</v>
      </c>
    </row>
    <row r="8">
      <c r="B8" s="3" t="s">
        <v>29</v>
      </c>
      <c r="D8" s="3">
        <v>2.0</v>
      </c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8</v>
      </c>
      <c r="G12" s="4" t="str">
        <f>IF(I12 &gt; D12, "W", IF(I12 &lt; D12, "L", "D"))
</f>
        <v>L</v>
      </c>
      <c r="H12" s="2"/>
      <c r="I12" s="2">
        <f>sum(I2:I11)</f>
        <v>6</v>
      </c>
      <c r="L12" s="3" t="s">
        <v>28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10</v>
      </c>
      <c r="C2" s="3" t="s">
        <v>13</v>
      </c>
      <c r="G2" s="3" t="s">
        <v>35</v>
      </c>
      <c r="H2" s="3"/>
      <c r="I2" s="3">
        <v>3.0</v>
      </c>
      <c r="J2" s="3">
        <v>1.0</v>
      </c>
    </row>
    <row r="3">
      <c r="B3" s="3" t="s">
        <v>12</v>
      </c>
      <c r="D3" s="3">
        <v>1.0</v>
      </c>
      <c r="G3" s="3" t="s">
        <v>27</v>
      </c>
      <c r="K3" s="3">
        <v>1.0</v>
      </c>
    </row>
    <row r="4">
      <c r="B4" s="3" t="s">
        <v>22</v>
      </c>
      <c r="E4" s="3">
        <v>1.0</v>
      </c>
      <c r="F4" s="3">
        <v>1.0</v>
      </c>
      <c r="G4" s="3" t="s">
        <v>19</v>
      </c>
      <c r="J4" s="3">
        <v>3.0</v>
      </c>
      <c r="K4" s="3">
        <v>1.0</v>
      </c>
    </row>
    <row r="5">
      <c r="B5" s="3" t="s">
        <v>18</v>
      </c>
      <c r="D5" s="3">
        <v>1.0</v>
      </c>
      <c r="F5" s="3">
        <v>1.0</v>
      </c>
      <c r="G5" s="3" t="s">
        <v>24</v>
      </c>
      <c r="I5" s="3">
        <v>2.0</v>
      </c>
    </row>
    <row r="6">
      <c r="B6" s="3" t="s">
        <v>33</v>
      </c>
      <c r="F6" s="3">
        <v>1.0</v>
      </c>
      <c r="G6" s="3" t="s">
        <v>15</v>
      </c>
      <c r="J6" s="3">
        <v>2.0</v>
      </c>
    </row>
    <row r="7">
      <c r="B7" s="3" t="s">
        <v>56</v>
      </c>
      <c r="G7" s="3" t="s">
        <v>17</v>
      </c>
      <c r="K7" s="3">
        <v>1.0</v>
      </c>
    </row>
    <row r="8">
      <c r="B8" s="3" t="s">
        <v>29</v>
      </c>
      <c r="D8" s="3">
        <v>1.0</v>
      </c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L</v>
      </c>
      <c r="C12" s="2"/>
      <c r="D12" s="2">
        <f>SUM(D2:D11)</f>
        <v>3</v>
      </c>
      <c r="G12" s="4" t="str">
        <f>IF(I12 &gt; D12, "W", IF(I12 &lt; D12, "L", "D"))
</f>
        <v>W</v>
      </c>
      <c r="H12" s="2"/>
      <c r="I12" s="2">
        <f>sum(I2:I11)</f>
        <v>5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35</v>
      </c>
      <c r="C2" s="3" t="s">
        <v>13</v>
      </c>
      <c r="D2" s="3">
        <v>1.0</v>
      </c>
      <c r="G2" s="3" t="s">
        <v>18</v>
      </c>
      <c r="H2" s="3" t="s">
        <v>13</v>
      </c>
    </row>
    <row r="3">
      <c r="B3" s="3" t="s">
        <v>16</v>
      </c>
      <c r="D3" s="3">
        <v>1.0</v>
      </c>
      <c r="E3" s="3">
        <v>2.0</v>
      </c>
      <c r="F3" s="3">
        <v>1.0</v>
      </c>
      <c r="G3" s="3" t="s">
        <v>12</v>
      </c>
      <c r="J3" s="3">
        <v>1.0</v>
      </c>
      <c r="K3" s="3">
        <v>1.0</v>
      </c>
    </row>
    <row r="4">
      <c r="B4" s="3" t="s">
        <v>27</v>
      </c>
      <c r="D4" s="3">
        <v>1.0</v>
      </c>
      <c r="F4" s="3">
        <v>1.0</v>
      </c>
      <c r="G4" s="3" t="s">
        <v>19</v>
      </c>
      <c r="I4" s="3">
        <v>2.0</v>
      </c>
      <c r="K4" s="3">
        <v>1.0</v>
      </c>
    </row>
    <row r="5">
      <c r="B5" s="3" t="s">
        <v>22</v>
      </c>
      <c r="G5" s="3" t="s">
        <v>43</v>
      </c>
      <c r="J5" s="3">
        <v>2.0</v>
      </c>
      <c r="K5" s="3">
        <v>1.0</v>
      </c>
    </row>
    <row r="6">
      <c r="B6" s="3" t="s">
        <v>14</v>
      </c>
      <c r="D6" s="3">
        <v>1.0</v>
      </c>
      <c r="G6" s="3" t="s">
        <v>21</v>
      </c>
      <c r="K6" s="3">
        <v>1.0</v>
      </c>
    </row>
    <row r="7">
      <c r="B7" s="3" t="s">
        <v>10</v>
      </c>
      <c r="F7" s="3">
        <v>1.0</v>
      </c>
      <c r="G7" s="3" t="s">
        <v>15</v>
      </c>
      <c r="I7" s="3">
        <v>1.0</v>
      </c>
    </row>
    <row r="8">
      <c r="B8" s="4"/>
      <c r="G8" s="3" t="s">
        <v>29</v>
      </c>
      <c r="I8" s="3">
        <v>1.0</v>
      </c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4</v>
      </c>
      <c r="G12" s="4" t="str">
        <f>IF(I12 &gt; D12, "W", IF(I12 &lt; D12, "L", "D"))
</f>
        <v>D</v>
      </c>
      <c r="H12" s="2"/>
      <c r="I12" s="2">
        <f>sum(I2:I11)</f>
        <v>4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3" t="s">
        <v>19</v>
      </c>
      <c r="C2" s="3" t="s">
        <v>13</v>
      </c>
      <c r="D2" s="3">
        <v>1.0</v>
      </c>
      <c r="E2" s="3">
        <v>1.0</v>
      </c>
      <c r="G2" s="3" t="s">
        <v>43</v>
      </c>
      <c r="H2" s="3" t="s">
        <v>13</v>
      </c>
    </row>
    <row r="3">
      <c r="B3" s="3" t="s">
        <v>12</v>
      </c>
      <c r="D3" s="3">
        <v>3.0</v>
      </c>
      <c r="E3" s="3">
        <v>3.0</v>
      </c>
      <c r="F3" s="3">
        <v>1.0</v>
      </c>
      <c r="G3" s="3" t="s">
        <v>20</v>
      </c>
    </row>
    <row r="4">
      <c r="B4" s="3" t="s">
        <v>60</v>
      </c>
      <c r="D4" s="3">
        <v>3.0</v>
      </c>
      <c r="E4" s="3">
        <v>2.0</v>
      </c>
      <c r="G4" s="3" t="s">
        <v>10</v>
      </c>
      <c r="I4" s="3">
        <v>3.0</v>
      </c>
    </row>
    <row r="5">
      <c r="B5" s="3" t="s">
        <v>24</v>
      </c>
      <c r="D5" s="3">
        <v>2.0</v>
      </c>
      <c r="E5" s="3">
        <v>1.0</v>
      </c>
      <c r="F5" s="3">
        <v>1.0</v>
      </c>
      <c r="G5" s="3" t="s">
        <v>35</v>
      </c>
    </row>
    <row r="6">
      <c r="B6" s="3" t="s">
        <v>18</v>
      </c>
      <c r="E6" s="3">
        <v>2.0</v>
      </c>
      <c r="G6" s="3" t="s">
        <v>21</v>
      </c>
      <c r="I6" s="3">
        <v>1.0</v>
      </c>
    </row>
    <row r="7">
      <c r="B7" s="3" t="s">
        <v>56</v>
      </c>
      <c r="D7" s="3">
        <v>3.0</v>
      </c>
      <c r="E7" s="3">
        <v>2.0</v>
      </c>
      <c r="F7" s="3">
        <v>1.0</v>
      </c>
      <c r="G7" s="3" t="s">
        <v>22</v>
      </c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W</v>
      </c>
      <c r="C12" s="2"/>
      <c r="D12" s="2">
        <f>SUM(D2:D11)</f>
        <v>12</v>
      </c>
      <c r="G12" s="4" t="str">
        <f>IF(I12 &gt; D12, "W", IF(I12 &lt; D12, "L", "D"))
</f>
        <v>L</v>
      </c>
      <c r="H12" s="2"/>
      <c r="I12" s="2">
        <f>sum(I2:I11)</f>
        <v>4</v>
      </c>
      <c r="L12" s="3" t="s">
        <v>31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4"/>
      <c r="G2" s="4"/>
    </row>
    <row r="3">
      <c r="B3" s="4"/>
      <c r="G3" s="4"/>
    </row>
    <row r="4">
      <c r="B4" s="4"/>
      <c r="G4" s="4"/>
    </row>
    <row r="5">
      <c r="B5" s="4"/>
      <c r="G5" s="4"/>
    </row>
    <row r="6">
      <c r="B6" s="4"/>
      <c r="G6" s="4"/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0</v>
      </c>
      <c r="G12" s="4" t="str">
        <f>IF(I12 &gt; D12, "W", IF(I12 &lt; D12, "L", "D"))
</f>
        <v>D</v>
      </c>
      <c r="H12" s="2"/>
      <c r="I12" s="2">
        <f>sum(I2:I11)</f>
        <v>0</v>
      </c>
      <c r="L12" s="3" t="s">
        <v>28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4"/>
      <c r="G2" s="4"/>
    </row>
    <row r="3">
      <c r="B3" s="4"/>
      <c r="G3" s="4"/>
    </row>
    <row r="4">
      <c r="B4" s="4"/>
      <c r="G4" s="4"/>
    </row>
    <row r="5">
      <c r="B5" s="4"/>
      <c r="G5" s="4"/>
    </row>
    <row r="6">
      <c r="B6" s="4"/>
      <c r="G6" s="4"/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0</v>
      </c>
      <c r="G12" s="4" t="str">
        <f>IF(I12 &gt; D12, "W", IF(I12 &lt; D12, "L", "D"))
</f>
        <v>D</v>
      </c>
      <c r="H12" s="2"/>
      <c r="I12" s="2">
        <f>sum(I2:I11)</f>
        <v>0</v>
      </c>
      <c r="L12" s="3" t="s">
        <v>30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5.38"/>
    <col customWidth="1" min="8" max="8" width="4.75"/>
    <col customWidth="1" min="11" max="11" width="4.38"/>
  </cols>
  <sheetData>
    <row r="1">
      <c r="A1" s="1" t="s">
        <v>49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4"/>
      <c r="G2" s="4"/>
    </row>
    <row r="3">
      <c r="B3" s="4"/>
      <c r="G3" s="4"/>
    </row>
    <row r="4">
      <c r="B4" s="4"/>
      <c r="G4" s="4"/>
    </row>
    <row r="5">
      <c r="B5" s="4"/>
      <c r="G5" s="4"/>
    </row>
    <row r="6">
      <c r="B6" s="4"/>
      <c r="G6" s="4"/>
    </row>
    <row r="7">
      <c r="B7" s="4"/>
      <c r="G7" s="4"/>
    </row>
    <row r="8">
      <c r="B8" s="4"/>
      <c r="G8" s="4"/>
    </row>
    <row r="9">
      <c r="B9" s="4"/>
      <c r="G9" s="4"/>
    </row>
    <row r="10">
      <c r="B10" s="4"/>
      <c r="G10" s="4"/>
    </row>
    <row r="12">
      <c r="A12" s="1" t="s">
        <v>26</v>
      </c>
      <c r="B12" s="4" t="str">
        <f>IF(D12 &gt; I12, "W", IF(D12 &lt; I12, "L", "D"))
</f>
        <v>D</v>
      </c>
      <c r="C12" s="2"/>
      <c r="D12" s="2">
        <f>SUM(D2:D11)</f>
        <v>0</v>
      </c>
      <c r="G12" s="4" t="str">
        <f>IF(I12 &gt; D12, "W", IF(I12 &lt; D12, "L", "D"))
</f>
        <v>D</v>
      </c>
      <c r="H12" s="2"/>
      <c r="I12" s="2">
        <f>sum(I2:I11)</f>
        <v>0</v>
      </c>
      <c r="L12" s="3" t="s">
        <v>30</v>
      </c>
    </row>
  </sheetData>
  <dataValidations>
    <dataValidation type="list" allowBlank="1" showErrorMessage="1" sqref="B2:B10 G2:G10">
      <formula1>"Jez,Kempy,Nairn,Ben,Bill,Char,Connor,Corin,Crell,Dave,Ewan,Gman,Harry,Jamal,Jan,Jay,Joe,Joel,Jules,Karun,Leo,LG,Luke,Nik,Ram,Touwa,Will Mac,OG,Dan,Jacob,Sean,Sinan,JPH,Marcus,Thorny,Davis"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C2" s="5">
        <v>6.0</v>
      </c>
    </row>
    <row r="3">
      <c r="A3" s="3" t="s">
        <v>19</v>
      </c>
      <c r="C3" s="5">
        <v>6.0</v>
      </c>
    </row>
    <row r="4">
      <c r="A4" s="3" t="s">
        <v>11</v>
      </c>
      <c r="C4" s="5">
        <v>3.0</v>
      </c>
    </row>
    <row r="5">
      <c r="A5" s="3" t="s">
        <v>48</v>
      </c>
      <c r="C5" s="5">
        <v>0.0</v>
      </c>
    </row>
    <row r="6">
      <c r="A6" s="3" t="s">
        <v>27</v>
      </c>
      <c r="C6" s="5">
        <v>5.0</v>
      </c>
    </row>
    <row r="7">
      <c r="A7" s="3" t="s">
        <v>10</v>
      </c>
      <c r="C7" s="5">
        <v>6.0</v>
      </c>
    </row>
    <row r="8">
      <c r="A8" s="3" t="s">
        <v>68</v>
      </c>
      <c r="C8" s="5">
        <v>0.0</v>
      </c>
    </row>
    <row r="9">
      <c r="A9" s="3" t="s">
        <v>69</v>
      </c>
      <c r="C9" s="5">
        <v>0.0</v>
      </c>
    </row>
    <row r="10">
      <c r="A10" s="3" t="s">
        <v>43</v>
      </c>
      <c r="C10" s="5">
        <v>4.0</v>
      </c>
    </row>
    <row r="11">
      <c r="A11" s="3" t="s">
        <v>17</v>
      </c>
      <c r="C11" s="5">
        <v>5.0</v>
      </c>
    </row>
    <row r="12">
      <c r="A12" s="3" t="s">
        <v>60</v>
      </c>
      <c r="C12" s="5">
        <v>0.0</v>
      </c>
    </row>
    <row r="13">
      <c r="A13" s="3" t="s">
        <v>22</v>
      </c>
      <c r="C13" s="5">
        <v>4.0</v>
      </c>
    </row>
    <row r="14">
      <c r="A14" s="3" t="s">
        <v>18</v>
      </c>
      <c r="C14" s="5">
        <v>3.0</v>
      </c>
    </row>
    <row r="15">
      <c r="A15" s="3" t="s">
        <v>24</v>
      </c>
      <c r="C15" s="5">
        <v>0.0</v>
      </c>
    </row>
    <row r="16">
      <c r="A16" s="3" t="s">
        <v>33</v>
      </c>
      <c r="C16" s="5">
        <v>1.0</v>
      </c>
    </row>
    <row r="17">
      <c r="A17" s="3" t="s">
        <v>40</v>
      </c>
      <c r="C17" s="5">
        <v>0.0</v>
      </c>
    </row>
    <row r="18">
      <c r="A18" s="3" t="s">
        <v>16</v>
      </c>
      <c r="C18" s="5">
        <v>3.0</v>
      </c>
    </row>
    <row r="19">
      <c r="A19" s="3" t="s">
        <v>53</v>
      </c>
      <c r="C19" s="5">
        <v>0.0</v>
      </c>
    </row>
    <row r="20">
      <c r="A20" s="3" t="s">
        <v>57</v>
      </c>
      <c r="C20" s="5">
        <v>0.0</v>
      </c>
    </row>
    <row r="21">
      <c r="A21" s="3" t="s">
        <v>70</v>
      </c>
      <c r="C21" s="5">
        <v>0.0</v>
      </c>
    </row>
    <row r="22">
      <c r="A22" s="3" t="s">
        <v>35</v>
      </c>
      <c r="C22" s="5">
        <v>4.0</v>
      </c>
    </row>
    <row r="23">
      <c r="A23" s="3" t="s">
        <v>23</v>
      </c>
      <c r="C23" s="5">
        <v>2.0</v>
      </c>
    </row>
    <row r="24">
      <c r="A24" s="3" t="s">
        <v>56</v>
      </c>
      <c r="C24" s="5">
        <v>0.0</v>
      </c>
    </row>
    <row r="25">
      <c r="A25" s="3" t="s">
        <v>25</v>
      </c>
      <c r="C25" s="5">
        <v>4.0</v>
      </c>
    </row>
    <row r="26">
      <c r="A26" s="3" t="s">
        <v>14</v>
      </c>
      <c r="C26" s="5">
        <v>2.0</v>
      </c>
    </row>
    <row r="27">
      <c r="A27" s="3" t="s">
        <v>71</v>
      </c>
      <c r="C27" s="5">
        <v>0.0</v>
      </c>
    </row>
    <row r="28">
      <c r="A28" s="3" t="s">
        <v>20</v>
      </c>
      <c r="C28" s="5">
        <v>6.0</v>
      </c>
    </row>
    <row r="29">
      <c r="A29" s="3" t="s">
        <v>72</v>
      </c>
      <c r="C29" s="5">
        <v>0.0</v>
      </c>
    </row>
    <row r="30">
      <c r="A30" s="3" t="s">
        <v>21</v>
      </c>
      <c r="C30" s="5">
        <v>5.0</v>
      </c>
    </row>
    <row r="31">
      <c r="A31" s="3" t="s">
        <v>73</v>
      </c>
      <c r="C31" s="5">
        <v>0.0</v>
      </c>
    </row>
    <row r="32">
      <c r="A32" s="3" t="s">
        <v>74</v>
      </c>
      <c r="C32" s="5">
        <v>0.0</v>
      </c>
    </row>
    <row r="33">
      <c r="A33" s="3" t="s">
        <v>75</v>
      </c>
      <c r="C33" s="5">
        <v>0.0</v>
      </c>
    </row>
    <row r="34">
      <c r="A34" s="3" t="s">
        <v>38</v>
      </c>
      <c r="C34" s="5">
        <v>1.0</v>
      </c>
    </row>
    <row r="35">
      <c r="A35" s="3" t="s">
        <v>15</v>
      </c>
      <c r="C35" s="5">
        <v>3.0</v>
      </c>
    </row>
    <row r="36">
      <c r="A36" s="3" t="s">
        <v>52</v>
      </c>
      <c r="C36" s="5">
        <v>1.0</v>
      </c>
    </row>
    <row r="37">
      <c r="A37" s="3" t="s">
        <v>46</v>
      </c>
      <c r="C37" s="5">
        <v>0.0</v>
      </c>
    </row>
    <row r="38">
      <c r="C38" s="4">
        <f>sum(C2:C35)</f>
        <v>73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9" max="9" width="8.38"/>
    <col customWidth="1" min="10" max="10" width="29.0"/>
    <col customWidth="1" min="11" max="11" width="19.75"/>
    <col customWidth="1" min="12" max="13" width="20.5"/>
    <col customWidth="1" min="14" max="14" width="20.75"/>
    <col customWidth="1" min="23" max="23" width="15.25"/>
    <col customWidth="1" min="24" max="24" width="17.75"/>
    <col customWidth="1" min="25" max="25" width="14.38"/>
  </cols>
  <sheetData>
    <row r="1">
      <c r="A1" s="1" t="s">
        <v>61</v>
      </c>
      <c r="B1" s="1" t="s">
        <v>62</v>
      </c>
      <c r="C1" s="1" t="s">
        <v>78</v>
      </c>
      <c r="D1" s="1" t="s">
        <v>5</v>
      </c>
      <c r="E1" s="1" t="s">
        <v>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6" t="s">
        <v>84</v>
      </c>
      <c r="L1" s="1" t="s">
        <v>85</v>
      </c>
      <c r="M1" s="6" t="s">
        <v>86</v>
      </c>
      <c r="N1" s="6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93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103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>
      <c r="A2" s="3" t="s">
        <v>12</v>
      </c>
      <c r="B2" s="4" t="str">
        <f t="shared" ref="B2:B35" si="1">countPlayerOccurrences(A2)</f>
        <v>#NAME?</v>
      </c>
      <c r="C2" s="4" t="str">
        <f>SUM(B2, Apps!D2)</f>
        <v>#NAME?</v>
      </c>
      <c r="D2" s="4" t="str">
        <f t="shared" ref="D2:D35" si="2">sumPlayerGoals(A2)</f>
        <v>#NAME?</v>
      </c>
      <c r="G2" s="4" t="str">
        <f t="shared" ref="G2:G35" si="3">countPlayerWins(A2)
</f>
        <v>#NAME?</v>
      </c>
      <c r="H2" s="4" t="str">
        <f t="shared" ref="H2:H35" si="4">countPlayerDraws(A2)</f>
        <v>#NAME?</v>
      </c>
      <c r="I2" s="4" t="str">
        <f t="shared" ref="I2:I35" si="5">countPlayerLosses(A2)</f>
        <v>#NAME?</v>
      </c>
      <c r="J2" s="4" t="str">
        <f t="shared" ref="J2:J35" si="6">sumPlayerTeamGoals(A2)</f>
        <v>#NAME?</v>
      </c>
      <c r="K2" s="14" t="str">
        <f t="shared" ref="K2:K35" si="7">J2/B2</f>
        <v>#NAME?</v>
      </c>
      <c r="L2" s="4" t="str">
        <f t="shared" ref="L2:L35" si="8">sumPlayerConcededGoals(A2)</f>
        <v>#NAME?</v>
      </c>
      <c r="M2" s="14" t="str">
        <f t="shared" ref="M2:M35" si="9">L2/B2</f>
        <v>#NAME?</v>
      </c>
      <c r="N2" s="14" t="str">
        <f t="shared" ref="N2:N35" si="10">K2-M2</f>
        <v>#NAME?</v>
      </c>
      <c r="O2" s="14" t="str">
        <f t="shared" ref="O2:O35" si="11">D2/B2</f>
        <v>#NAME?</v>
      </c>
      <c r="P2" s="15"/>
      <c r="Q2" s="15"/>
      <c r="R2" s="15"/>
      <c r="S2" s="15" t="str">
        <f t="shared" ref="S2:S35" si="12">G2/B2</f>
        <v>#NAME?</v>
      </c>
      <c r="T2" s="15" t="str">
        <f t="shared" ref="T2:T35" si="13">H2/B2</f>
        <v>#NAME?</v>
      </c>
      <c r="U2" s="15" t="str">
        <f t="shared" ref="U2:U35" si="14">I2/B2</f>
        <v>#NAME?</v>
      </c>
      <c r="V2" s="15" t="str">
        <f t="shared" ref="V2:V35" si="15">B2/49</f>
        <v>#NAME?</v>
      </c>
      <c r="W2" s="4" t="str">
        <f t="shared" ref="W2:W35" si="16">goalsPerGameInWins(A2)</f>
        <v>#NAME?</v>
      </c>
      <c r="X2" s="4" t="str">
        <f t="shared" ref="X2:X35" si="17">goalsPerGameInLosses(A2)</f>
        <v>#NAME?</v>
      </c>
      <c r="Y2" s="4" t="str">
        <f t="shared" ref="Y2:Y35" si="18">W2-X2</f>
        <v>#NAME?</v>
      </c>
      <c r="Z2" s="4" t="str">
        <f t="shared" ref="Z2:Z35" si="19">LongestWinStreak(A2)</f>
        <v>#NAME?</v>
      </c>
      <c r="AA2" s="4" t="str">
        <f t="shared" ref="AA2:AA35" si="20">longestLossStreakEndingWithWin(A2)</f>
        <v>#NAME?</v>
      </c>
    </row>
    <row r="3">
      <c r="A3" s="3" t="s">
        <v>19</v>
      </c>
      <c r="B3" s="4" t="str">
        <f t="shared" si="1"/>
        <v>#NAME?</v>
      </c>
      <c r="C3" s="4" t="str">
        <f>SUM(B3, Apps!D3)</f>
        <v>#NAME?</v>
      </c>
      <c r="D3" s="4" t="str">
        <f t="shared" si="2"/>
        <v>#NAME?</v>
      </c>
      <c r="G3" s="4" t="str">
        <f t="shared" si="3"/>
        <v>#NAME?</v>
      </c>
      <c r="H3" s="4" t="str">
        <f t="shared" si="4"/>
        <v>#NAME?</v>
      </c>
      <c r="I3" s="4" t="str">
        <f t="shared" si="5"/>
        <v>#NAME?</v>
      </c>
      <c r="J3" s="4" t="str">
        <f t="shared" si="6"/>
        <v>#NAME?</v>
      </c>
      <c r="K3" s="14" t="str">
        <f t="shared" si="7"/>
        <v>#NAME?</v>
      </c>
      <c r="L3" s="4" t="str">
        <f t="shared" si="8"/>
        <v>#NAME?</v>
      </c>
      <c r="M3" s="14" t="str">
        <f t="shared" si="9"/>
        <v>#NAME?</v>
      </c>
      <c r="N3" s="14" t="str">
        <f t="shared" si="10"/>
        <v>#NAME?</v>
      </c>
      <c r="O3" s="14" t="str">
        <f t="shared" si="11"/>
        <v>#NAME?</v>
      </c>
      <c r="P3" s="15"/>
      <c r="Q3" s="15"/>
      <c r="R3" s="15"/>
      <c r="S3" s="15" t="str">
        <f t="shared" si="12"/>
        <v>#NAME?</v>
      </c>
      <c r="T3" s="15" t="str">
        <f t="shared" si="13"/>
        <v>#NAME?</v>
      </c>
      <c r="U3" s="15" t="str">
        <f t="shared" si="14"/>
        <v>#NAME?</v>
      </c>
      <c r="V3" s="15" t="str">
        <f t="shared" si="15"/>
        <v>#NAME?</v>
      </c>
      <c r="W3" s="4" t="str">
        <f t="shared" si="16"/>
        <v>#NAME?</v>
      </c>
      <c r="X3" s="4" t="str">
        <f t="shared" si="17"/>
        <v>#NAME?</v>
      </c>
      <c r="Y3" s="4" t="str">
        <f t="shared" si="18"/>
        <v>#NAME?</v>
      </c>
      <c r="Z3" s="4" t="str">
        <f t="shared" si="19"/>
        <v>#NAME?</v>
      </c>
      <c r="AA3" s="4" t="str">
        <f t="shared" si="20"/>
        <v>#NAME?</v>
      </c>
    </row>
    <row r="4">
      <c r="A4" s="3" t="s">
        <v>11</v>
      </c>
      <c r="B4" s="4" t="str">
        <f t="shared" si="1"/>
        <v>#NAME?</v>
      </c>
      <c r="C4" s="4" t="str">
        <f>SUM(B4, Apps!D4)</f>
        <v>#NAME?</v>
      </c>
      <c r="D4" s="4" t="str">
        <f t="shared" si="2"/>
        <v>#NAME?</v>
      </c>
      <c r="G4" s="4" t="str">
        <f t="shared" si="3"/>
        <v>#NAME?</v>
      </c>
      <c r="H4" s="4" t="str">
        <f t="shared" si="4"/>
        <v>#NAME?</v>
      </c>
      <c r="I4" s="4" t="str">
        <f t="shared" si="5"/>
        <v>#NAME?</v>
      </c>
      <c r="J4" s="4" t="str">
        <f t="shared" si="6"/>
        <v>#NAME?</v>
      </c>
      <c r="K4" s="14" t="str">
        <f t="shared" si="7"/>
        <v>#NAME?</v>
      </c>
      <c r="L4" s="4" t="str">
        <f t="shared" si="8"/>
        <v>#NAME?</v>
      </c>
      <c r="M4" s="14" t="str">
        <f t="shared" si="9"/>
        <v>#NAME?</v>
      </c>
      <c r="N4" s="14" t="str">
        <f t="shared" si="10"/>
        <v>#NAME?</v>
      </c>
      <c r="O4" s="14" t="str">
        <f t="shared" si="11"/>
        <v>#NAME?</v>
      </c>
      <c r="P4" s="15"/>
      <c r="Q4" s="15"/>
      <c r="R4" s="15"/>
      <c r="S4" s="15" t="str">
        <f t="shared" si="12"/>
        <v>#NAME?</v>
      </c>
      <c r="T4" s="15" t="str">
        <f t="shared" si="13"/>
        <v>#NAME?</v>
      </c>
      <c r="U4" s="15" t="str">
        <f t="shared" si="14"/>
        <v>#NAME?</v>
      </c>
      <c r="V4" s="15" t="str">
        <f t="shared" si="15"/>
        <v>#NAME?</v>
      </c>
      <c r="W4" s="4" t="str">
        <f t="shared" si="16"/>
        <v>#NAME?</v>
      </c>
      <c r="X4" s="4" t="str">
        <f t="shared" si="17"/>
        <v>#NAME?</v>
      </c>
      <c r="Y4" s="4" t="str">
        <f t="shared" si="18"/>
        <v>#NAME?</v>
      </c>
      <c r="Z4" s="4" t="str">
        <f t="shared" si="19"/>
        <v>#NAME?</v>
      </c>
      <c r="AA4" s="4" t="str">
        <f t="shared" si="20"/>
        <v>#NAME?</v>
      </c>
    </row>
    <row r="5">
      <c r="A5" s="3" t="s">
        <v>48</v>
      </c>
      <c r="B5" s="4" t="str">
        <f t="shared" si="1"/>
        <v>#NAME?</v>
      </c>
      <c r="C5" s="4" t="str">
        <f>SUM(B5, Apps!D5)</f>
        <v>#NAME?</v>
      </c>
      <c r="D5" s="4" t="str">
        <f t="shared" si="2"/>
        <v>#NAME?</v>
      </c>
      <c r="G5" s="4" t="str">
        <f t="shared" si="3"/>
        <v>#NAME?</v>
      </c>
      <c r="H5" s="4" t="str">
        <f t="shared" si="4"/>
        <v>#NAME?</v>
      </c>
      <c r="I5" s="4" t="str">
        <f t="shared" si="5"/>
        <v>#NAME?</v>
      </c>
      <c r="J5" s="4" t="str">
        <f t="shared" si="6"/>
        <v>#NAME?</v>
      </c>
      <c r="K5" s="14" t="str">
        <f t="shared" si="7"/>
        <v>#NAME?</v>
      </c>
      <c r="L5" s="4" t="str">
        <f t="shared" si="8"/>
        <v>#NAME?</v>
      </c>
      <c r="M5" s="14" t="str">
        <f t="shared" si="9"/>
        <v>#NAME?</v>
      </c>
      <c r="N5" s="14" t="str">
        <f t="shared" si="10"/>
        <v>#NAME?</v>
      </c>
      <c r="O5" s="14" t="str">
        <f t="shared" si="11"/>
        <v>#NAME?</v>
      </c>
      <c r="P5" s="15"/>
      <c r="Q5" s="15"/>
      <c r="R5" s="15"/>
      <c r="S5" s="15" t="str">
        <f t="shared" si="12"/>
        <v>#NAME?</v>
      </c>
      <c r="T5" s="15" t="str">
        <f t="shared" si="13"/>
        <v>#NAME?</v>
      </c>
      <c r="U5" s="15" t="str">
        <f t="shared" si="14"/>
        <v>#NAME?</v>
      </c>
      <c r="V5" s="15" t="str">
        <f t="shared" si="15"/>
        <v>#NAME?</v>
      </c>
      <c r="W5" s="4" t="str">
        <f t="shared" si="16"/>
        <v>#NAME?</v>
      </c>
      <c r="X5" s="4" t="str">
        <f t="shared" si="17"/>
        <v>#NAME?</v>
      </c>
      <c r="Y5" s="4" t="str">
        <f t="shared" si="18"/>
        <v>#NAME?</v>
      </c>
      <c r="Z5" s="4" t="str">
        <f t="shared" si="19"/>
        <v>#NAME?</v>
      </c>
      <c r="AA5" s="4" t="str">
        <f t="shared" si="20"/>
        <v>#NAME?</v>
      </c>
    </row>
    <row r="6">
      <c r="A6" s="3" t="s">
        <v>27</v>
      </c>
      <c r="B6" s="4" t="str">
        <f t="shared" si="1"/>
        <v>#NAME?</v>
      </c>
      <c r="C6" s="4" t="str">
        <f>SUM(B6, Apps!D6)</f>
        <v>#NAME?</v>
      </c>
      <c r="D6" s="4" t="str">
        <f t="shared" si="2"/>
        <v>#NAME?</v>
      </c>
      <c r="G6" s="4" t="str">
        <f t="shared" si="3"/>
        <v>#NAME?</v>
      </c>
      <c r="H6" s="4" t="str">
        <f t="shared" si="4"/>
        <v>#NAME?</v>
      </c>
      <c r="I6" s="4" t="str">
        <f t="shared" si="5"/>
        <v>#NAME?</v>
      </c>
      <c r="J6" s="4" t="str">
        <f t="shared" si="6"/>
        <v>#NAME?</v>
      </c>
      <c r="K6" s="14" t="str">
        <f t="shared" si="7"/>
        <v>#NAME?</v>
      </c>
      <c r="L6" s="4" t="str">
        <f t="shared" si="8"/>
        <v>#NAME?</v>
      </c>
      <c r="M6" s="14" t="str">
        <f t="shared" si="9"/>
        <v>#NAME?</v>
      </c>
      <c r="N6" s="14" t="str">
        <f t="shared" si="10"/>
        <v>#NAME?</v>
      </c>
      <c r="O6" s="14" t="str">
        <f t="shared" si="11"/>
        <v>#NAME?</v>
      </c>
      <c r="P6" s="15"/>
      <c r="Q6" s="15"/>
      <c r="R6" s="15"/>
      <c r="S6" s="15" t="str">
        <f t="shared" si="12"/>
        <v>#NAME?</v>
      </c>
      <c r="T6" s="15" t="str">
        <f t="shared" si="13"/>
        <v>#NAME?</v>
      </c>
      <c r="U6" s="15" t="str">
        <f t="shared" si="14"/>
        <v>#NAME?</v>
      </c>
      <c r="V6" s="15" t="str">
        <f t="shared" si="15"/>
        <v>#NAME?</v>
      </c>
      <c r="W6" s="4" t="str">
        <f t="shared" si="16"/>
        <v>#NAME?</v>
      </c>
      <c r="X6" s="4" t="str">
        <f t="shared" si="17"/>
        <v>#NAME?</v>
      </c>
      <c r="Y6" s="4" t="str">
        <f t="shared" si="18"/>
        <v>#NAME?</v>
      </c>
      <c r="Z6" s="4" t="str">
        <f t="shared" si="19"/>
        <v>#NAME?</v>
      </c>
      <c r="AA6" s="4" t="str">
        <f t="shared" si="20"/>
        <v>#NAME?</v>
      </c>
    </row>
    <row r="7">
      <c r="A7" s="3" t="s">
        <v>10</v>
      </c>
      <c r="B7" s="4" t="str">
        <f t="shared" si="1"/>
        <v>#NAME?</v>
      </c>
      <c r="C7" s="4" t="str">
        <f>SUM(B7, Apps!D7)</f>
        <v>#NAME?</v>
      </c>
      <c r="D7" s="4" t="str">
        <f t="shared" si="2"/>
        <v>#NAME?</v>
      </c>
      <c r="G7" s="4" t="str">
        <f t="shared" si="3"/>
        <v>#NAME?</v>
      </c>
      <c r="H7" s="4" t="str">
        <f t="shared" si="4"/>
        <v>#NAME?</v>
      </c>
      <c r="I7" s="4" t="str">
        <f t="shared" si="5"/>
        <v>#NAME?</v>
      </c>
      <c r="J7" s="4" t="str">
        <f t="shared" si="6"/>
        <v>#NAME?</v>
      </c>
      <c r="K7" s="14" t="str">
        <f t="shared" si="7"/>
        <v>#NAME?</v>
      </c>
      <c r="L7" s="4" t="str">
        <f t="shared" si="8"/>
        <v>#NAME?</v>
      </c>
      <c r="M7" s="14" t="str">
        <f t="shared" si="9"/>
        <v>#NAME?</v>
      </c>
      <c r="N7" s="14" t="str">
        <f t="shared" si="10"/>
        <v>#NAME?</v>
      </c>
      <c r="O7" s="14" t="str">
        <f t="shared" si="11"/>
        <v>#NAME?</v>
      </c>
      <c r="P7" s="15"/>
      <c r="Q7" s="15"/>
      <c r="R7" s="15"/>
      <c r="S7" s="15" t="str">
        <f t="shared" si="12"/>
        <v>#NAME?</v>
      </c>
      <c r="T7" s="15" t="str">
        <f t="shared" si="13"/>
        <v>#NAME?</v>
      </c>
      <c r="U7" s="15" t="str">
        <f t="shared" si="14"/>
        <v>#NAME?</v>
      </c>
      <c r="V7" s="15" t="str">
        <f t="shared" si="15"/>
        <v>#NAME?</v>
      </c>
      <c r="W7" s="4" t="str">
        <f t="shared" si="16"/>
        <v>#NAME?</v>
      </c>
      <c r="X7" s="4" t="str">
        <f t="shared" si="17"/>
        <v>#NAME?</v>
      </c>
      <c r="Y7" s="4" t="str">
        <f t="shared" si="18"/>
        <v>#NAME?</v>
      </c>
      <c r="Z7" s="4" t="str">
        <f t="shared" si="19"/>
        <v>#NAME?</v>
      </c>
      <c r="AA7" s="4" t="str">
        <f t="shared" si="20"/>
        <v>#NAME?</v>
      </c>
    </row>
    <row r="8">
      <c r="A8" s="3" t="s">
        <v>68</v>
      </c>
      <c r="B8" s="4" t="str">
        <f t="shared" si="1"/>
        <v>#NAME?</v>
      </c>
      <c r="C8" s="4" t="str">
        <f>SUM(B8, Apps!D8)</f>
        <v>#NAME?</v>
      </c>
      <c r="D8" s="4" t="str">
        <f t="shared" si="2"/>
        <v>#NAME?</v>
      </c>
      <c r="G8" s="4" t="str">
        <f t="shared" si="3"/>
        <v>#NAME?</v>
      </c>
      <c r="H8" s="4" t="str">
        <f t="shared" si="4"/>
        <v>#NAME?</v>
      </c>
      <c r="I8" s="4" t="str">
        <f t="shared" si="5"/>
        <v>#NAME?</v>
      </c>
      <c r="J8" s="4" t="str">
        <f t="shared" si="6"/>
        <v>#NAME?</v>
      </c>
      <c r="K8" s="14" t="str">
        <f t="shared" si="7"/>
        <v>#NAME?</v>
      </c>
      <c r="L8" s="4" t="str">
        <f t="shared" si="8"/>
        <v>#NAME?</v>
      </c>
      <c r="M8" s="14" t="str">
        <f t="shared" si="9"/>
        <v>#NAME?</v>
      </c>
      <c r="N8" s="14" t="str">
        <f t="shared" si="10"/>
        <v>#NAME?</v>
      </c>
      <c r="O8" s="14" t="str">
        <f t="shared" si="11"/>
        <v>#NAME?</v>
      </c>
      <c r="P8" s="15"/>
      <c r="Q8" s="15"/>
      <c r="R8" s="15"/>
      <c r="S8" s="15" t="str">
        <f t="shared" si="12"/>
        <v>#NAME?</v>
      </c>
      <c r="T8" s="15" t="str">
        <f t="shared" si="13"/>
        <v>#NAME?</v>
      </c>
      <c r="U8" s="15" t="str">
        <f t="shared" si="14"/>
        <v>#NAME?</v>
      </c>
      <c r="V8" s="15" t="str">
        <f t="shared" si="15"/>
        <v>#NAME?</v>
      </c>
      <c r="W8" s="4" t="str">
        <f t="shared" si="16"/>
        <v>#NAME?</v>
      </c>
      <c r="X8" s="4" t="str">
        <f t="shared" si="17"/>
        <v>#NAME?</v>
      </c>
      <c r="Y8" s="4" t="str">
        <f t="shared" si="18"/>
        <v>#NAME?</v>
      </c>
      <c r="Z8" s="4" t="str">
        <f t="shared" si="19"/>
        <v>#NAME?</v>
      </c>
      <c r="AA8" s="4" t="str">
        <f t="shared" si="20"/>
        <v>#NAME?</v>
      </c>
    </row>
    <row r="9">
      <c r="A9" s="3" t="s">
        <v>69</v>
      </c>
      <c r="B9" s="4" t="str">
        <f t="shared" si="1"/>
        <v>#NAME?</v>
      </c>
      <c r="C9" s="4" t="str">
        <f>SUM(B9, Apps!D9)</f>
        <v>#NAME?</v>
      </c>
      <c r="D9" s="4" t="str">
        <f t="shared" si="2"/>
        <v>#NAME?</v>
      </c>
      <c r="G9" s="4" t="str">
        <f t="shared" si="3"/>
        <v>#NAME?</v>
      </c>
      <c r="H9" s="4" t="str">
        <f t="shared" si="4"/>
        <v>#NAME?</v>
      </c>
      <c r="I9" s="4" t="str">
        <f t="shared" si="5"/>
        <v>#NAME?</v>
      </c>
      <c r="J9" s="4" t="str">
        <f t="shared" si="6"/>
        <v>#NAME?</v>
      </c>
      <c r="K9" s="14" t="str">
        <f t="shared" si="7"/>
        <v>#NAME?</v>
      </c>
      <c r="L9" s="4" t="str">
        <f t="shared" si="8"/>
        <v>#NAME?</v>
      </c>
      <c r="M9" s="14" t="str">
        <f t="shared" si="9"/>
        <v>#NAME?</v>
      </c>
      <c r="N9" s="14" t="str">
        <f t="shared" si="10"/>
        <v>#NAME?</v>
      </c>
      <c r="O9" s="14" t="str">
        <f t="shared" si="11"/>
        <v>#NAME?</v>
      </c>
      <c r="P9" s="15"/>
      <c r="Q9" s="15"/>
      <c r="R9" s="15"/>
      <c r="S9" s="15" t="str">
        <f t="shared" si="12"/>
        <v>#NAME?</v>
      </c>
      <c r="T9" s="15" t="str">
        <f t="shared" si="13"/>
        <v>#NAME?</v>
      </c>
      <c r="U9" s="15" t="str">
        <f t="shared" si="14"/>
        <v>#NAME?</v>
      </c>
      <c r="V9" s="15" t="str">
        <f t="shared" si="15"/>
        <v>#NAME?</v>
      </c>
      <c r="W9" s="4" t="str">
        <f t="shared" si="16"/>
        <v>#NAME?</v>
      </c>
      <c r="X9" s="4" t="str">
        <f t="shared" si="17"/>
        <v>#NAME?</v>
      </c>
      <c r="Y9" s="4" t="str">
        <f t="shared" si="18"/>
        <v>#NAME?</v>
      </c>
      <c r="Z9" s="4" t="str">
        <f t="shared" si="19"/>
        <v>#NAME?</v>
      </c>
      <c r="AA9" s="4" t="str">
        <f t="shared" si="20"/>
        <v>#NAME?</v>
      </c>
    </row>
    <row r="10">
      <c r="A10" s="3" t="s">
        <v>43</v>
      </c>
      <c r="B10" s="4" t="str">
        <f t="shared" si="1"/>
        <v>#NAME?</v>
      </c>
      <c r="C10" s="4" t="str">
        <f>SUM(B10, Apps!D10)</f>
        <v>#NAME?</v>
      </c>
      <c r="D10" s="4" t="str">
        <f t="shared" si="2"/>
        <v>#NAME?</v>
      </c>
      <c r="E10" s="3"/>
      <c r="F10" s="3"/>
      <c r="G10" s="3" t="str">
        <f t="shared" si="3"/>
        <v>#NAME?</v>
      </c>
      <c r="H10" s="4" t="str">
        <f t="shared" si="4"/>
        <v>#NAME?</v>
      </c>
      <c r="I10" s="4" t="str">
        <f t="shared" si="5"/>
        <v>#NAME?</v>
      </c>
      <c r="J10" s="4" t="str">
        <f t="shared" si="6"/>
        <v>#NAME?</v>
      </c>
      <c r="K10" s="14" t="str">
        <f t="shared" si="7"/>
        <v>#NAME?</v>
      </c>
      <c r="L10" s="4" t="str">
        <f t="shared" si="8"/>
        <v>#NAME?</v>
      </c>
      <c r="M10" s="14" t="str">
        <f t="shared" si="9"/>
        <v>#NAME?</v>
      </c>
      <c r="N10" s="14" t="str">
        <f t="shared" si="10"/>
        <v>#NAME?</v>
      </c>
      <c r="O10" s="14" t="str">
        <f t="shared" si="11"/>
        <v>#NAME?</v>
      </c>
      <c r="P10" s="15"/>
      <c r="Q10" s="15"/>
      <c r="R10" s="15"/>
      <c r="S10" s="15" t="str">
        <f t="shared" si="12"/>
        <v>#NAME?</v>
      </c>
      <c r="T10" s="15" t="str">
        <f t="shared" si="13"/>
        <v>#NAME?</v>
      </c>
      <c r="U10" s="15" t="str">
        <f t="shared" si="14"/>
        <v>#NAME?</v>
      </c>
      <c r="V10" s="15" t="str">
        <f t="shared" si="15"/>
        <v>#NAME?</v>
      </c>
      <c r="W10" s="4" t="str">
        <f t="shared" si="16"/>
        <v>#NAME?</v>
      </c>
      <c r="X10" s="4" t="str">
        <f t="shared" si="17"/>
        <v>#NAME?</v>
      </c>
      <c r="Y10" s="4" t="str">
        <f t="shared" si="18"/>
        <v>#NAME?</v>
      </c>
      <c r="Z10" s="4" t="str">
        <f t="shared" si="19"/>
        <v>#NAME?</v>
      </c>
      <c r="AA10" s="4" t="str">
        <f t="shared" si="20"/>
        <v>#NAME?</v>
      </c>
    </row>
    <row r="11">
      <c r="A11" s="3" t="s">
        <v>17</v>
      </c>
      <c r="B11" s="4" t="str">
        <f t="shared" si="1"/>
        <v>#NAME?</v>
      </c>
      <c r="C11" s="4" t="str">
        <f>SUM(B11, Apps!D11)</f>
        <v>#NAME?</v>
      </c>
      <c r="D11" s="4" t="str">
        <f t="shared" si="2"/>
        <v>#NAME?</v>
      </c>
      <c r="G11" s="4" t="str">
        <f t="shared" si="3"/>
        <v>#NAME?</v>
      </c>
      <c r="H11" s="4" t="str">
        <f t="shared" si="4"/>
        <v>#NAME?</v>
      </c>
      <c r="I11" s="4" t="str">
        <f t="shared" si="5"/>
        <v>#NAME?</v>
      </c>
      <c r="J11" s="4" t="str">
        <f t="shared" si="6"/>
        <v>#NAME?</v>
      </c>
      <c r="K11" s="14" t="str">
        <f t="shared" si="7"/>
        <v>#NAME?</v>
      </c>
      <c r="L11" s="4" t="str">
        <f t="shared" si="8"/>
        <v>#NAME?</v>
      </c>
      <c r="M11" s="14" t="str">
        <f t="shared" si="9"/>
        <v>#NAME?</v>
      </c>
      <c r="N11" s="14" t="str">
        <f t="shared" si="10"/>
        <v>#NAME?</v>
      </c>
      <c r="O11" s="14" t="str">
        <f t="shared" si="11"/>
        <v>#NAME?</v>
      </c>
      <c r="P11" s="15"/>
      <c r="Q11" s="15"/>
      <c r="R11" s="15"/>
      <c r="S11" s="15" t="str">
        <f t="shared" si="12"/>
        <v>#NAME?</v>
      </c>
      <c r="T11" s="15" t="str">
        <f t="shared" si="13"/>
        <v>#NAME?</v>
      </c>
      <c r="U11" s="15" t="str">
        <f t="shared" si="14"/>
        <v>#NAME?</v>
      </c>
      <c r="V11" s="15" t="str">
        <f t="shared" si="15"/>
        <v>#NAME?</v>
      </c>
      <c r="W11" s="4" t="str">
        <f t="shared" si="16"/>
        <v>#NAME?</v>
      </c>
      <c r="X11" s="4" t="str">
        <f t="shared" si="17"/>
        <v>#NAME?</v>
      </c>
      <c r="Y11" s="4" t="str">
        <f t="shared" si="18"/>
        <v>#NAME?</v>
      </c>
      <c r="Z11" s="4" t="str">
        <f t="shared" si="19"/>
        <v>#NAME?</v>
      </c>
      <c r="AA11" s="4" t="str">
        <f t="shared" si="20"/>
        <v>#NAME?</v>
      </c>
    </row>
    <row r="12">
      <c r="A12" s="3" t="s">
        <v>60</v>
      </c>
      <c r="B12" s="4" t="str">
        <f t="shared" si="1"/>
        <v>#NAME?</v>
      </c>
      <c r="C12" s="4" t="str">
        <f>SUM(B12, Apps!D12)</f>
        <v>#NAME?</v>
      </c>
      <c r="D12" s="4" t="str">
        <f t="shared" si="2"/>
        <v>#NAME?</v>
      </c>
      <c r="G12" s="4" t="str">
        <f t="shared" si="3"/>
        <v>#NAME?</v>
      </c>
      <c r="H12" s="4" t="str">
        <f t="shared" si="4"/>
        <v>#NAME?</v>
      </c>
      <c r="I12" s="4" t="str">
        <f t="shared" si="5"/>
        <v>#NAME?</v>
      </c>
      <c r="J12" s="4" t="str">
        <f t="shared" si="6"/>
        <v>#NAME?</v>
      </c>
      <c r="K12" s="14" t="str">
        <f t="shared" si="7"/>
        <v>#NAME?</v>
      </c>
      <c r="L12" s="4" t="str">
        <f t="shared" si="8"/>
        <v>#NAME?</v>
      </c>
      <c r="M12" s="14" t="str">
        <f t="shared" si="9"/>
        <v>#NAME?</v>
      </c>
      <c r="N12" s="14" t="str">
        <f t="shared" si="10"/>
        <v>#NAME?</v>
      </c>
      <c r="O12" s="14" t="str">
        <f t="shared" si="11"/>
        <v>#NAME?</v>
      </c>
      <c r="P12" s="15"/>
      <c r="Q12" s="15"/>
      <c r="R12" s="15"/>
      <c r="S12" s="15" t="str">
        <f t="shared" si="12"/>
        <v>#NAME?</v>
      </c>
      <c r="T12" s="15" t="str">
        <f t="shared" si="13"/>
        <v>#NAME?</v>
      </c>
      <c r="U12" s="15" t="str">
        <f t="shared" si="14"/>
        <v>#NAME?</v>
      </c>
      <c r="V12" s="15" t="str">
        <f t="shared" si="15"/>
        <v>#NAME?</v>
      </c>
      <c r="W12" s="4" t="str">
        <f t="shared" si="16"/>
        <v>#NAME?</v>
      </c>
      <c r="X12" s="4" t="str">
        <f t="shared" si="17"/>
        <v>#NAME?</v>
      </c>
      <c r="Y12" s="4" t="str">
        <f t="shared" si="18"/>
        <v>#NAME?</v>
      </c>
      <c r="Z12" s="4" t="str">
        <f t="shared" si="19"/>
        <v>#NAME?</v>
      </c>
      <c r="AA12" s="4" t="str">
        <f t="shared" si="20"/>
        <v>#NAME?</v>
      </c>
    </row>
    <row r="13">
      <c r="A13" s="3" t="s">
        <v>22</v>
      </c>
      <c r="B13" s="4" t="str">
        <f t="shared" si="1"/>
        <v>#NAME?</v>
      </c>
      <c r="C13" s="4" t="str">
        <f>SUM(B13, Apps!D13)</f>
        <v>#NAME?</v>
      </c>
      <c r="D13" s="4" t="str">
        <f t="shared" si="2"/>
        <v>#NAME?</v>
      </c>
      <c r="G13" s="4" t="str">
        <f t="shared" si="3"/>
        <v>#NAME?</v>
      </c>
      <c r="H13" s="4" t="str">
        <f t="shared" si="4"/>
        <v>#NAME?</v>
      </c>
      <c r="I13" s="4" t="str">
        <f t="shared" si="5"/>
        <v>#NAME?</v>
      </c>
      <c r="J13" s="4" t="str">
        <f t="shared" si="6"/>
        <v>#NAME?</v>
      </c>
      <c r="K13" s="14" t="str">
        <f t="shared" si="7"/>
        <v>#NAME?</v>
      </c>
      <c r="L13" s="4" t="str">
        <f t="shared" si="8"/>
        <v>#NAME?</v>
      </c>
      <c r="M13" s="14" t="str">
        <f t="shared" si="9"/>
        <v>#NAME?</v>
      </c>
      <c r="N13" s="14" t="str">
        <f t="shared" si="10"/>
        <v>#NAME?</v>
      </c>
      <c r="O13" s="14" t="str">
        <f t="shared" si="11"/>
        <v>#NAME?</v>
      </c>
      <c r="P13" s="15"/>
      <c r="Q13" s="15"/>
      <c r="R13" s="15"/>
      <c r="S13" s="15" t="str">
        <f t="shared" si="12"/>
        <v>#NAME?</v>
      </c>
      <c r="T13" s="15" t="str">
        <f t="shared" si="13"/>
        <v>#NAME?</v>
      </c>
      <c r="U13" s="15" t="str">
        <f t="shared" si="14"/>
        <v>#NAME?</v>
      </c>
      <c r="V13" s="15" t="str">
        <f t="shared" si="15"/>
        <v>#NAME?</v>
      </c>
      <c r="W13" s="4" t="str">
        <f t="shared" si="16"/>
        <v>#NAME?</v>
      </c>
      <c r="X13" s="4" t="str">
        <f t="shared" si="17"/>
        <v>#NAME?</v>
      </c>
      <c r="Y13" s="4" t="str">
        <f t="shared" si="18"/>
        <v>#NAME?</v>
      </c>
      <c r="Z13" s="4" t="str">
        <f t="shared" si="19"/>
        <v>#NAME?</v>
      </c>
      <c r="AA13" s="4" t="str">
        <f t="shared" si="20"/>
        <v>#NAME?</v>
      </c>
    </row>
    <row r="14">
      <c r="A14" s="3" t="s">
        <v>18</v>
      </c>
      <c r="B14" s="4" t="str">
        <f t="shared" si="1"/>
        <v>#NAME?</v>
      </c>
      <c r="C14" s="4" t="str">
        <f>SUM(B14, Apps!D14)</f>
        <v>#NAME?</v>
      </c>
      <c r="D14" s="4" t="str">
        <f t="shared" si="2"/>
        <v>#NAME?</v>
      </c>
      <c r="G14" s="4" t="str">
        <f t="shared" si="3"/>
        <v>#NAME?</v>
      </c>
      <c r="H14" s="4" t="str">
        <f t="shared" si="4"/>
        <v>#NAME?</v>
      </c>
      <c r="I14" s="4" t="str">
        <f t="shared" si="5"/>
        <v>#NAME?</v>
      </c>
      <c r="J14" s="4" t="str">
        <f t="shared" si="6"/>
        <v>#NAME?</v>
      </c>
      <c r="K14" s="14" t="str">
        <f t="shared" si="7"/>
        <v>#NAME?</v>
      </c>
      <c r="L14" s="4" t="str">
        <f t="shared" si="8"/>
        <v>#NAME?</v>
      </c>
      <c r="M14" s="14" t="str">
        <f t="shared" si="9"/>
        <v>#NAME?</v>
      </c>
      <c r="N14" s="14" t="str">
        <f t="shared" si="10"/>
        <v>#NAME?</v>
      </c>
      <c r="O14" s="14" t="str">
        <f t="shared" si="11"/>
        <v>#NAME?</v>
      </c>
      <c r="P14" s="15"/>
      <c r="Q14" s="15"/>
      <c r="R14" s="15"/>
      <c r="S14" s="15" t="str">
        <f t="shared" si="12"/>
        <v>#NAME?</v>
      </c>
      <c r="T14" s="15" t="str">
        <f t="shared" si="13"/>
        <v>#NAME?</v>
      </c>
      <c r="U14" s="15" t="str">
        <f t="shared" si="14"/>
        <v>#NAME?</v>
      </c>
      <c r="V14" s="15" t="str">
        <f t="shared" si="15"/>
        <v>#NAME?</v>
      </c>
      <c r="W14" s="4" t="str">
        <f t="shared" si="16"/>
        <v>#NAME?</v>
      </c>
      <c r="X14" s="4" t="str">
        <f t="shared" si="17"/>
        <v>#NAME?</v>
      </c>
      <c r="Y14" s="4" t="str">
        <f t="shared" si="18"/>
        <v>#NAME?</v>
      </c>
      <c r="Z14" s="4" t="str">
        <f t="shared" si="19"/>
        <v>#NAME?</v>
      </c>
      <c r="AA14" s="4" t="str">
        <f t="shared" si="20"/>
        <v>#NAME?</v>
      </c>
    </row>
    <row r="15">
      <c r="A15" s="3" t="s">
        <v>24</v>
      </c>
      <c r="B15" s="4" t="str">
        <f t="shared" si="1"/>
        <v>#NAME?</v>
      </c>
      <c r="C15" s="4" t="str">
        <f>SUM(B15, Apps!D15)</f>
        <v>#NAME?</v>
      </c>
      <c r="D15" s="4" t="str">
        <f t="shared" si="2"/>
        <v>#NAME?</v>
      </c>
      <c r="G15" s="4" t="str">
        <f t="shared" si="3"/>
        <v>#NAME?</v>
      </c>
      <c r="H15" s="4" t="str">
        <f t="shared" si="4"/>
        <v>#NAME?</v>
      </c>
      <c r="I15" s="4" t="str">
        <f t="shared" si="5"/>
        <v>#NAME?</v>
      </c>
      <c r="J15" s="4" t="str">
        <f t="shared" si="6"/>
        <v>#NAME?</v>
      </c>
      <c r="K15" s="14" t="str">
        <f t="shared" si="7"/>
        <v>#NAME?</v>
      </c>
      <c r="L15" s="4" t="str">
        <f t="shared" si="8"/>
        <v>#NAME?</v>
      </c>
      <c r="M15" s="14" t="str">
        <f t="shared" si="9"/>
        <v>#NAME?</v>
      </c>
      <c r="N15" s="14" t="str">
        <f t="shared" si="10"/>
        <v>#NAME?</v>
      </c>
      <c r="O15" s="14" t="str">
        <f t="shared" si="11"/>
        <v>#NAME?</v>
      </c>
      <c r="P15" s="15"/>
      <c r="Q15" s="15"/>
      <c r="R15" s="15"/>
      <c r="S15" s="15" t="str">
        <f t="shared" si="12"/>
        <v>#NAME?</v>
      </c>
      <c r="T15" s="15" t="str">
        <f t="shared" si="13"/>
        <v>#NAME?</v>
      </c>
      <c r="U15" s="15" t="str">
        <f t="shared" si="14"/>
        <v>#NAME?</v>
      </c>
      <c r="V15" s="15" t="str">
        <f t="shared" si="15"/>
        <v>#NAME?</v>
      </c>
      <c r="W15" s="4" t="str">
        <f t="shared" si="16"/>
        <v>#NAME?</v>
      </c>
      <c r="X15" s="4" t="str">
        <f t="shared" si="17"/>
        <v>#NAME?</v>
      </c>
      <c r="Y15" s="4" t="str">
        <f t="shared" si="18"/>
        <v>#NAME?</v>
      </c>
      <c r="Z15" s="4" t="str">
        <f t="shared" si="19"/>
        <v>#NAME?</v>
      </c>
      <c r="AA15" s="4" t="str">
        <f t="shared" si="20"/>
        <v>#NAME?</v>
      </c>
    </row>
    <row r="16">
      <c r="A16" s="3" t="s">
        <v>33</v>
      </c>
      <c r="B16" s="4" t="str">
        <f t="shared" si="1"/>
        <v>#NAME?</v>
      </c>
      <c r="C16" s="4" t="str">
        <f>SUM(B16, Apps!D16)</f>
        <v>#NAME?</v>
      </c>
      <c r="D16" s="4" t="str">
        <f t="shared" si="2"/>
        <v>#NAME?</v>
      </c>
      <c r="G16" s="4" t="str">
        <f t="shared" si="3"/>
        <v>#NAME?</v>
      </c>
      <c r="H16" s="4" t="str">
        <f t="shared" si="4"/>
        <v>#NAME?</v>
      </c>
      <c r="I16" s="4" t="str">
        <f t="shared" si="5"/>
        <v>#NAME?</v>
      </c>
      <c r="J16" s="4" t="str">
        <f t="shared" si="6"/>
        <v>#NAME?</v>
      </c>
      <c r="K16" s="14" t="str">
        <f t="shared" si="7"/>
        <v>#NAME?</v>
      </c>
      <c r="L16" s="4" t="str">
        <f t="shared" si="8"/>
        <v>#NAME?</v>
      </c>
      <c r="M16" s="14" t="str">
        <f t="shared" si="9"/>
        <v>#NAME?</v>
      </c>
      <c r="N16" s="14" t="str">
        <f t="shared" si="10"/>
        <v>#NAME?</v>
      </c>
      <c r="O16" s="14" t="str">
        <f t="shared" si="11"/>
        <v>#NAME?</v>
      </c>
      <c r="P16" s="15"/>
      <c r="Q16" s="15"/>
      <c r="R16" s="15"/>
      <c r="S16" s="15" t="str">
        <f t="shared" si="12"/>
        <v>#NAME?</v>
      </c>
      <c r="T16" s="15" t="str">
        <f t="shared" si="13"/>
        <v>#NAME?</v>
      </c>
      <c r="U16" s="15" t="str">
        <f t="shared" si="14"/>
        <v>#NAME?</v>
      </c>
      <c r="V16" s="15" t="str">
        <f t="shared" si="15"/>
        <v>#NAME?</v>
      </c>
      <c r="W16" s="4" t="str">
        <f t="shared" si="16"/>
        <v>#NAME?</v>
      </c>
      <c r="X16" s="4" t="str">
        <f t="shared" si="17"/>
        <v>#NAME?</v>
      </c>
      <c r="Y16" s="4" t="str">
        <f t="shared" si="18"/>
        <v>#NAME?</v>
      </c>
      <c r="Z16" s="4" t="str">
        <f t="shared" si="19"/>
        <v>#NAME?</v>
      </c>
      <c r="AA16" s="4" t="str">
        <f t="shared" si="20"/>
        <v>#NAME?</v>
      </c>
    </row>
    <row r="17">
      <c r="A17" s="3" t="s">
        <v>40</v>
      </c>
      <c r="B17" s="4" t="str">
        <f t="shared" si="1"/>
        <v>#NAME?</v>
      </c>
      <c r="C17" s="4" t="str">
        <f>SUM(B17, Apps!D17)</f>
        <v>#NAME?</v>
      </c>
      <c r="D17" s="4" t="str">
        <f t="shared" si="2"/>
        <v>#NAME?</v>
      </c>
      <c r="G17" s="4" t="str">
        <f t="shared" si="3"/>
        <v>#NAME?</v>
      </c>
      <c r="H17" s="4" t="str">
        <f t="shared" si="4"/>
        <v>#NAME?</v>
      </c>
      <c r="I17" s="4" t="str">
        <f t="shared" si="5"/>
        <v>#NAME?</v>
      </c>
      <c r="J17" s="4" t="str">
        <f t="shared" si="6"/>
        <v>#NAME?</v>
      </c>
      <c r="K17" s="14" t="str">
        <f t="shared" si="7"/>
        <v>#NAME?</v>
      </c>
      <c r="L17" s="4" t="str">
        <f t="shared" si="8"/>
        <v>#NAME?</v>
      </c>
      <c r="M17" s="14" t="str">
        <f t="shared" si="9"/>
        <v>#NAME?</v>
      </c>
      <c r="N17" s="14" t="str">
        <f t="shared" si="10"/>
        <v>#NAME?</v>
      </c>
      <c r="O17" s="14" t="str">
        <f t="shared" si="11"/>
        <v>#NAME?</v>
      </c>
      <c r="P17" s="15"/>
      <c r="Q17" s="15"/>
      <c r="R17" s="15"/>
      <c r="S17" s="15" t="str">
        <f t="shared" si="12"/>
        <v>#NAME?</v>
      </c>
      <c r="T17" s="15" t="str">
        <f t="shared" si="13"/>
        <v>#NAME?</v>
      </c>
      <c r="U17" s="15" t="str">
        <f t="shared" si="14"/>
        <v>#NAME?</v>
      </c>
      <c r="V17" s="15" t="str">
        <f t="shared" si="15"/>
        <v>#NAME?</v>
      </c>
      <c r="W17" s="4" t="str">
        <f t="shared" si="16"/>
        <v>#NAME?</v>
      </c>
      <c r="X17" s="4" t="str">
        <f t="shared" si="17"/>
        <v>#NAME?</v>
      </c>
      <c r="Y17" s="4" t="str">
        <f t="shared" si="18"/>
        <v>#NAME?</v>
      </c>
      <c r="Z17" s="4" t="str">
        <f t="shared" si="19"/>
        <v>#NAME?</v>
      </c>
      <c r="AA17" s="4" t="str">
        <f t="shared" si="20"/>
        <v>#NAME?</v>
      </c>
    </row>
    <row r="18">
      <c r="A18" s="3" t="s">
        <v>16</v>
      </c>
      <c r="B18" s="4" t="str">
        <f t="shared" si="1"/>
        <v>#NAME?</v>
      </c>
      <c r="C18" s="4" t="str">
        <f>SUM(B18, Apps!D18)</f>
        <v>#NAME?</v>
      </c>
      <c r="D18" s="4" t="str">
        <f t="shared" si="2"/>
        <v>#NAME?</v>
      </c>
      <c r="G18" s="4" t="str">
        <f t="shared" si="3"/>
        <v>#NAME?</v>
      </c>
      <c r="H18" s="4" t="str">
        <f t="shared" si="4"/>
        <v>#NAME?</v>
      </c>
      <c r="I18" s="4" t="str">
        <f t="shared" si="5"/>
        <v>#NAME?</v>
      </c>
      <c r="J18" s="4" t="str">
        <f t="shared" si="6"/>
        <v>#NAME?</v>
      </c>
      <c r="K18" s="14" t="str">
        <f t="shared" si="7"/>
        <v>#NAME?</v>
      </c>
      <c r="L18" s="4" t="str">
        <f t="shared" si="8"/>
        <v>#NAME?</v>
      </c>
      <c r="M18" s="14" t="str">
        <f t="shared" si="9"/>
        <v>#NAME?</v>
      </c>
      <c r="N18" s="14" t="str">
        <f t="shared" si="10"/>
        <v>#NAME?</v>
      </c>
      <c r="O18" s="14" t="str">
        <f t="shared" si="11"/>
        <v>#NAME?</v>
      </c>
      <c r="P18" s="15"/>
      <c r="Q18" s="15"/>
      <c r="R18" s="15"/>
      <c r="S18" s="15" t="str">
        <f t="shared" si="12"/>
        <v>#NAME?</v>
      </c>
      <c r="T18" s="15" t="str">
        <f t="shared" si="13"/>
        <v>#NAME?</v>
      </c>
      <c r="U18" s="15" t="str">
        <f t="shared" si="14"/>
        <v>#NAME?</v>
      </c>
      <c r="V18" s="15" t="str">
        <f t="shared" si="15"/>
        <v>#NAME?</v>
      </c>
      <c r="W18" s="4" t="str">
        <f t="shared" si="16"/>
        <v>#NAME?</v>
      </c>
      <c r="X18" s="4" t="str">
        <f t="shared" si="17"/>
        <v>#NAME?</v>
      </c>
      <c r="Y18" s="4" t="str">
        <f t="shared" si="18"/>
        <v>#NAME?</v>
      </c>
      <c r="Z18" s="4" t="str">
        <f t="shared" si="19"/>
        <v>#NAME?</v>
      </c>
      <c r="AA18" s="4" t="str">
        <f t="shared" si="20"/>
        <v>#NAME?</v>
      </c>
    </row>
    <row r="19">
      <c r="A19" s="3" t="s">
        <v>53</v>
      </c>
      <c r="B19" s="4" t="str">
        <f t="shared" si="1"/>
        <v>#NAME?</v>
      </c>
      <c r="C19" s="4" t="str">
        <f>SUM(B19, Apps!D19)</f>
        <v>#NAME?</v>
      </c>
      <c r="D19" s="4" t="str">
        <f t="shared" si="2"/>
        <v>#NAME?</v>
      </c>
      <c r="G19" s="4" t="str">
        <f t="shared" si="3"/>
        <v>#NAME?</v>
      </c>
      <c r="H19" s="4" t="str">
        <f t="shared" si="4"/>
        <v>#NAME?</v>
      </c>
      <c r="I19" s="4" t="str">
        <f t="shared" si="5"/>
        <v>#NAME?</v>
      </c>
      <c r="J19" s="4" t="str">
        <f t="shared" si="6"/>
        <v>#NAME?</v>
      </c>
      <c r="K19" s="14" t="str">
        <f t="shared" si="7"/>
        <v>#NAME?</v>
      </c>
      <c r="L19" s="4" t="str">
        <f t="shared" si="8"/>
        <v>#NAME?</v>
      </c>
      <c r="M19" s="14" t="str">
        <f t="shared" si="9"/>
        <v>#NAME?</v>
      </c>
      <c r="N19" s="14" t="str">
        <f t="shared" si="10"/>
        <v>#NAME?</v>
      </c>
      <c r="O19" s="14" t="str">
        <f t="shared" si="11"/>
        <v>#NAME?</v>
      </c>
      <c r="P19" s="15"/>
      <c r="Q19" s="15"/>
      <c r="R19" s="15"/>
      <c r="S19" s="15" t="str">
        <f t="shared" si="12"/>
        <v>#NAME?</v>
      </c>
      <c r="T19" s="15" t="str">
        <f t="shared" si="13"/>
        <v>#NAME?</v>
      </c>
      <c r="U19" s="15" t="str">
        <f t="shared" si="14"/>
        <v>#NAME?</v>
      </c>
      <c r="V19" s="15" t="str">
        <f t="shared" si="15"/>
        <v>#NAME?</v>
      </c>
      <c r="W19" s="4" t="str">
        <f t="shared" si="16"/>
        <v>#NAME?</v>
      </c>
      <c r="X19" s="4" t="str">
        <f t="shared" si="17"/>
        <v>#NAME?</v>
      </c>
      <c r="Y19" s="4" t="str">
        <f t="shared" si="18"/>
        <v>#NAME?</v>
      </c>
      <c r="Z19" s="4" t="str">
        <f t="shared" si="19"/>
        <v>#NAME?</v>
      </c>
      <c r="AA19" s="4" t="str">
        <f t="shared" si="20"/>
        <v>#NAME?</v>
      </c>
    </row>
    <row r="20">
      <c r="A20" s="3" t="s">
        <v>57</v>
      </c>
      <c r="B20" s="4" t="str">
        <f t="shared" si="1"/>
        <v>#NAME?</v>
      </c>
      <c r="C20" s="4" t="str">
        <f>SUM(B20, Apps!D20)</f>
        <v>#NAME?</v>
      </c>
      <c r="D20" s="4" t="str">
        <f t="shared" si="2"/>
        <v>#NAME?</v>
      </c>
      <c r="G20" s="4" t="str">
        <f t="shared" si="3"/>
        <v>#NAME?</v>
      </c>
      <c r="H20" s="4" t="str">
        <f t="shared" si="4"/>
        <v>#NAME?</v>
      </c>
      <c r="I20" s="4" t="str">
        <f t="shared" si="5"/>
        <v>#NAME?</v>
      </c>
      <c r="J20" s="4" t="str">
        <f t="shared" si="6"/>
        <v>#NAME?</v>
      </c>
      <c r="K20" s="14" t="str">
        <f t="shared" si="7"/>
        <v>#NAME?</v>
      </c>
      <c r="L20" s="4" t="str">
        <f t="shared" si="8"/>
        <v>#NAME?</v>
      </c>
      <c r="M20" s="14" t="str">
        <f t="shared" si="9"/>
        <v>#NAME?</v>
      </c>
      <c r="N20" s="14" t="str">
        <f t="shared" si="10"/>
        <v>#NAME?</v>
      </c>
      <c r="O20" s="14" t="str">
        <f t="shared" si="11"/>
        <v>#NAME?</v>
      </c>
      <c r="P20" s="15"/>
      <c r="Q20" s="15"/>
      <c r="R20" s="15"/>
      <c r="S20" s="15" t="str">
        <f t="shared" si="12"/>
        <v>#NAME?</v>
      </c>
      <c r="T20" s="15" t="str">
        <f t="shared" si="13"/>
        <v>#NAME?</v>
      </c>
      <c r="U20" s="15" t="str">
        <f t="shared" si="14"/>
        <v>#NAME?</v>
      </c>
      <c r="V20" s="15" t="str">
        <f t="shared" si="15"/>
        <v>#NAME?</v>
      </c>
      <c r="W20" s="4" t="str">
        <f t="shared" si="16"/>
        <v>#NAME?</v>
      </c>
      <c r="X20" s="4" t="str">
        <f t="shared" si="17"/>
        <v>#NAME?</v>
      </c>
      <c r="Y20" s="4" t="str">
        <f t="shared" si="18"/>
        <v>#NAME?</v>
      </c>
      <c r="Z20" s="4" t="str">
        <f t="shared" si="19"/>
        <v>#NAME?</v>
      </c>
      <c r="AA20" s="4" t="str">
        <f t="shared" si="20"/>
        <v>#NAME?</v>
      </c>
    </row>
    <row r="21">
      <c r="A21" s="3" t="s">
        <v>70</v>
      </c>
      <c r="B21" s="4" t="str">
        <f t="shared" si="1"/>
        <v>#NAME?</v>
      </c>
      <c r="C21" s="4" t="str">
        <f>SUM(B21, Apps!D21)</f>
        <v>#NAME?</v>
      </c>
      <c r="D21" s="4" t="str">
        <f t="shared" si="2"/>
        <v>#NAME?</v>
      </c>
      <c r="G21" s="4" t="str">
        <f t="shared" si="3"/>
        <v>#NAME?</v>
      </c>
      <c r="H21" s="4" t="str">
        <f t="shared" si="4"/>
        <v>#NAME?</v>
      </c>
      <c r="I21" s="4" t="str">
        <f t="shared" si="5"/>
        <v>#NAME?</v>
      </c>
      <c r="J21" s="4" t="str">
        <f t="shared" si="6"/>
        <v>#NAME?</v>
      </c>
      <c r="K21" s="14" t="str">
        <f t="shared" si="7"/>
        <v>#NAME?</v>
      </c>
      <c r="L21" s="4" t="str">
        <f t="shared" si="8"/>
        <v>#NAME?</v>
      </c>
      <c r="M21" s="14" t="str">
        <f t="shared" si="9"/>
        <v>#NAME?</v>
      </c>
      <c r="N21" s="14" t="str">
        <f t="shared" si="10"/>
        <v>#NAME?</v>
      </c>
      <c r="O21" s="14" t="str">
        <f t="shared" si="11"/>
        <v>#NAME?</v>
      </c>
      <c r="P21" s="15"/>
      <c r="Q21" s="15"/>
      <c r="R21" s="15"/>
      <c r="S21" s="15" t="str">
        <f t="shared" si="12"/>
        <v>#NAME?</v>
      </c>
      <c r="T21" s="15" t="str">
        <f t="shared" si="13"/>
        <v>#NAME?</v>
      </c>
      <c r="U21" s="15" t="str">
        <f t="shared" si="14"/>
        <v>#NAME?</v>
      </c>
      <c r="V21" s="15" t="str">
        <f t="shared" si="15"/>
        <v>#NAME?</v>
      </c>
      <c r="W21" s="4" t="str">
        <f t="shared" si="16"/>
        <v>#NAME?</v>
      </c>
      <c r="X21" s="4" t="str">
        <f t="shared" si="17"/>
        <v>#NAME?</v>
      </c>
      <c r="Y21" s="4" t="str">
        <f t="shared" si="18"/>
        <v>#NAME?</v>
      </c>
      <c r="Z21" s="4" t="str">
        <f t="shared" si="19"/>
        <v>#NAME?</v>
      </c>
      <c r="AA21" s="4" t="str">
        <f t="shared" si="20"/>
        <v>#NAME?</v>
      </c>
    </row>
    <row r="22">
      <c r="A22" s="3" t="s">
        <v>35</v>
      </c>
      <c r="B22" s="4" t="str">
        <f t="shared" si="1"/>
        <v>#NAME?</v>
      </c>
      <c r="C22" s="4" t="str">
        <f>SUM(B22, Apps!D22)</f>
        <v>#NAME?</v>
      </c>
      <c r="D22" s="4" t="str">
        <f t="shared" si="2"/>
        <v>#NAME?</v>
      </c>
      <c r="G22" s="4" t="str">
        <f t="shared" si="3"/>
        <v>#NAME?</v>
      </c>
      <c r="H22" s="4" t="str">
        <f t="shared" si="4"/>
        <v>#NAME?</v>
      </c>
      <c r="I22" s="4" t="str">
        <f t="shared" si="5"/>
        <v>#NAME?</v>
      </c>
      <c r="J22" s="4" t="str">
        <f t="shared" si="6"/>
        <v>#NAME?</v>
      </c>
      <c r="K22" s="14" t="str">
        <f t="shared" si="7"/>
        <v>#NAME?</v>
      </c>
      <c r="L22" s="4" t="str">
        <f t="shared" si="8"/>
        <v>#NAME?</v>
      </c>
      <c r="M22" s="14" t="str">
        <f t="shared" si="9"/>
        <v>#NAME?</v>
      </c>
      <c r="N22" s="14" t="str">
        <f t="shared" si="10"/>
        <v>#NAME?</v>
      </c>
      <c r="O22" s="14" t="str">
        <f t="shared" si="11"/>
        <v>#NAME?</v>
      </c>
      <c r="P22" s="15"/>
      <c r="Q22" s="15"/>
      <c r="R22" s="15"/>
      <c r="S22" s="15" t="str">
        <f t="shared" si="12"/>
        <v>#NAME?</v>
      </c>
      <c r="T22" s="15" t="str">
        <f t="shared" si="13"/>
        <v>#NAME?</v>
      </c>
      <c r="U22" s="15" t="str">
        <f t="shared" si="14"/>
        <v>#NAME?</v>
      </c>
      <c r="V22" s="15" t="str">
        <f t="shared" si="15"/>
        <v>#NAME?</v>
      </c>
      <c r="W22" s="4" t="str">
        <f t="shared" si="16"/>
        <v>#NAME?</v>
      </c>
      <c r="X22" s="4" t="str">
        <f t="shared" si="17"/>
        <v>#NAME?</v>
      </c>
      <c r="Y22" s="4" t="str">
        <f t="shared" si="18"/>
        <v>#NAME?</v>
      </c>
      <c r="Z22" s="4" t="str">
        <f t="shared" si="19"/>
        <v>#NAME?</v>
      </c>
      <c r="AA22" s="4" t="str">
        <f t="shared" si="20"/>
        <v>#NAME?</v>
      </c>
    </row>
    <row r="23">
      <c r="A23" s="3" t="s">
        <v>23</v>
      </c>
      <c r="B23" s="4" t="str">
        <f t="shared" si="1"/>
        <v>#NAME?</v>
      </c>
      <c r="C23" s="4" t="str">
        <f>SUM(B23, Apps!D23)</f>
        <v>#NAME?</v>
      </c>
      <c r="D23" s="4" t="str">
        <f t="shared" si="2"/>
        <v>#NAME?</v>
      </c>
      <c r="G23" s="4" t="str">
        <f t="shared" si="3"/>
        <v>#NAME?</v>
      </c>
      <c r="H23" s="4" t="str">
        <f t="shared" si="4"/>
        <v>#NAME?</v>
      </c>
      <c r="I23" s="4" t="str">
        <f t="shared" si="5"/>
        <v>#NAME?</v>
      </c>
      <c r="J23" s="4" t="str">
        <f t="shared" si="6"/>
        <v>#NAME?</v>
      </c>
      <c r="K23" s="14" t="str">
        <f t="shared" si="7"/>
        <v>#NAME?</v>
      </c>
      <c r="L23" s="4" t="str">
        <f t="shared" si="8"/>
        <v>#NAME?</v>
      </c>
      <c r="M23" s="14" t="str">
        <f t="shared" si="9"/>
        <v>#NAME?</v>
      </c>
      <c r="N23" s="14" t="str">
        <f t="shared" si="10"/>
        <v>#NAME?</v>
      </c>
      <c r="O23" s="14" t="str">
        <f t="shared" si="11"/>
        <v>#NAME?</v>
      </c>
      <c r="P23" s="15"/>
      <c r="Q23" s="15"/>
      <c r="R23" s="15"/>
      <c r="S23" s="15" t="str">
        <f t="shared" si="12"/>
        <v>#NAME?</v>
      </c>
      <c r="T23" s="15" t="str">
        <f t="shared" si="13"/>
        <v>#NAME?</v>
      </c>
      <c r="U23" s="15" t="str">
        <f t="shared" si="14"/>
        <v>#NAME?</v>
      </c>
      <c r="V23" s="15" t="str">
        <f t="shared" si="15"/>
        <v>#NAME?</v>
      </c>
      <c r="W23" s="4" t="str">
        <f t="shared" si="16"/>
        <v>#NAME?</v>
      </c>
      <c r="X23" s="4" t="str">
        <f t="shared" si="17"/>
        <v>#NAME?</v>
      </c>
      <c r="Y23" s="4" t="str">
        <f t="shared" si="18"/>
        <v>#NAME?</v>
      </c>
      <c r="Z23" s="4" t="str">
        <f t="shared" si="19"/>
        <v>#NAME?</v>
      </c>
      <c r="AA23" s="4" t="str">
        <f t="shared" si="20"/>
        <v>#NAME?</v>
      </c>
    </row>
    <row r="24">
      <c r="A24" s="3" t="s">
        <v>56</v>
      </c>
      <c r="B24" s="4" t="str">
        <f t="shared" si="1"/>
        <v>#NAME?</v>
      </c>
      <c r="C24" s="4" t="str">
        <f>SUM(B24, Apps!D24)</f>
        <v>#NAME?</v>
      </c>
      <c r="D24" s="4" t="str">
        <f t="shared" si="2"/>
        <v>#NAME?</v>
      </c>
      <c r="G24" s="4" t="str">
        <f t="shared" si="3"/>
        <v>#NAME?</v>
      </c>
      <c r="H24" s="4" t="str">
        <f t="shared" si="4"/>
        <v>#NAME?</v>
      </c>
      <c r="I24" s="4" t="str">
        <f t="shared" si="5"/>
        <v>#NAME?</v>
      </c>
      <c r="J24" s="4" t="str">
        <f t="shared" si="6"/>
        <v>#NAME?</v>
      </c>
      <c r="K24" s="14" t="str">
        <f t="shared" si="7"/>
        <v>#NAME?</v>
      </c>
      <c r="L24" s="4" t="str">
        <f t="shared" si="8"/>
        <v>#NAME?</v>
      </c>
      <c r="M24" s="14" t="str">
        <f t="shared" si="9"/>
        <v>#NAME?</v>
      </c>
      <c r="N24" s="14" t="str">
        <f t="shared" si="10"/>
        <v>#NAME?</v>
      </c>
      <c r="O24" s="14" t="str">
        <f t="shared" si="11"/>
        <v>#NAME?</v>
      </c>
      <c r="P24" s="15"/>
      <c r="Q24" s="15"/>
      <c r="R24" s="15"/>
      <c r="S24" s="15" t="str">
        <f t="shared" si="12"/>
        <v>#NAME?</v>
      </c>
      <c r="T24" s="15" t="str">
        <f t="shared" si="13"/>
        <v>#NAME?</v>
      </c>
      <c r="U24" s="15" t="str">
        <f t="shared" si="14"/>
        <v>#NAME?</v>
      </c>
      <c r="V24" s="15" t="str">
        <f t="shared" si="15"/>
        <v>#NAME?</v>
      </c>
      <c r="W24" s="4" t="str">
        <f t="shared" si="16"/>
        <v>#NAME?</v>
      </c>
      <c r="X24" s="4" t="str">
        <f t="shared" si="17"/>
        <v>#NAME?</v>
      </c>
      <c r="Y24" s="4" t="str">
        <f t="shared" si="18"/>
        <v>#NAME?</v>
      </c>
      <c r="Z24" s="4" t="str">
        <f t="shared" si="19"/>
        <v>#NAME?</v>
      </c>
      <c r="AA24" s="4" t="str">
        <f t="shared" si="20"/>
        <v>#NAME?</v>
      </c>
    </row>
    <row r="25">
      <c r="A25" s="3" t="s">
        <v>25</v>
      </c>
      <c r="B25" s="4" t="str">
        <f t="shared" si="1"/>
        <v>#NAME?</v>
      </c>
      <c r="C25" s="4" t="str">
        <f>SUM(B25, Apps!D25)</f>
        <v>#NAME?</v>
      </c>
      <c r="D25" s="4" t="str">
        <f t="shared" si="2"/>
        <v>#NAME?</v>
      </c>
      <c r="G25" s="4" t="str">
        <f t="shared" si="3"/>
        <v>#NAME?</v>
      </c>
      <c r="H25" s="4" t="str">
        <f t="shared" si="4"/>
        <v>#NAME?</v>
      </c>
      <c r="I25" s="4" t="str">
        <f t="shared" si="5"/>
        <v>#NAME?</v>
      </c>
      <c r="J25" s="4" t="str">
        <f t="shared" si="6"/>
        <v>#NAME?</v>
      </c>
      <c r="K25" s="14" t="str">
        <f t="shared" si="7"/>
        <v>#NAME?</v>
      </c>
      <c r="L25" s="4" t="str">
        <f t="shared" si="8"/>
        <v>#NAME?</v>
      </c>
      <c r="M25" s="14" t="str">
        <f t="shared" si="9"/>
        <v>#NAME?</v>
      </c>
      <c r="N25" s="14" t="str">
        <f t="shared" si="10"/>
        <v>#NAME?</v>
      </c>
      <c r="O25" s="14" t="str">
        <f t="shared" si="11"/>
        <v>#NAME?</v>
      </c>
      <c r="P25" s="15"/>
      <c r="Q25" s="15"/>
      <c r="R25" s="15"/>
      <c r="S25" s="15" t="str">
        <f t="shared" si="12"/>
        <v>#NAME?</v>
      </c>
      <c r="T25" s="15" t="str">
        <f t="shared" si="13"/>
        <v>#NAME?</v>
      </c>
      <c r="U25" s="15" t="str">
        <f t="shared" si="14"/>
        <v>#NAME?</v>
      </c>
      <c r="V25" s="15" t="str">
        <f t="shared" si="15"/>
        <v>#NAME?</v>
      </c>
      <c r="W25" s="4" t="str">
        <f t="shared" si="16"/>
        <v>#NAME?</v>
      </c>
      <c r="X25" s="4" t="str">
        <f t="shared" si="17"/>
        <v>#NAME?</v>
      </c>
      <c r="Y25" s="4" t="str">
        <f t="shared" si="18"/>
        <v>#NAME?</v>
      </c>
      <c r="Z25" s="4" t="str">
        <f t="shared" si="19"/>
        <v>#NAME?</v>
      </c>
      <c r="AA25" s="4" t="str">
        <f t="shared" si="20"/>
        <v>#NAME?</v>
      </c>
    </row>
    <row r="26">
      <c r="A26" s="3" t="s">
        <v>14</v>
      </c>
      <c r="B26" s="4" t="str">
        <f t="shared" si="1"/>
        <v>#NAME?</v>
      </c>
      <c r="C26" s="4" t="str">
        <f>SUM(B26, Apps!D26)</f>
        <v>#NAME?</v>
      </c>
      <c r="D26" s="4" t="str">
        <f t="shared" si="2"/>
        <v>#NAME?</v>
      </c>
      <c r="G26" s="4" t="str">
        <f t="shared" si="3"/>
        <v>#NAME?</v>
      </c>
      <c r="H26" s="4" t="str">
        <f t="shared" si="4"/>
        <v>#NAME?</v>
      </c>
      <c r="I26" s="4" t="str">
        <f t="shared" si="5"/>
        <v>#NAME?</v>
      </c>
      <c r="J26" s="4" t="str">
        <f t="shared" si="6"/>
        <v>#NAME?</v>
      </c>
      <c r="K26" s="14" t="str">
        <f t="shared" si="7"/>
        <v>#NAME?</v>
      </c>
      <c r="L26" s="4" t="str">
        <f t="shared" si="8"/>
        <v>#NAME?</v>
      </c>
      <c r="M26" s="14" t="str">
        <f t="shared" si="9"/>
        <v>#NAME?</v>
      </c>
      <c r="N26" s="14" t="str">
        <f t="shared" si="10"/>
        <v>#NAME?</v>
      </c>
      <c r="O26" s="14" t="str">
        <f t="shared" si="11"/>
        <v>#NAME?</v>
      </c>
      <c r="P26" s="15"/>
      <c r="Q26" s="15"/>
      <c r="R26" s="15"/>
      <c r="S26" s="15" t="str">
        <f t="shared" si="12"/>
        <v>#NAME?</v>
      </c>
      <c r="T26" s="15" t="str">
        <f t="shared" si="13"/>
        <v>#NAME?</v>
      </c>
      <c r="U26" s="15" t="str">
        <f t="shared" si="14"/>
        <v>#NAME?</v>
      </c>
      <c r="V26" s="15" t="str">
        <f t="shared" si="15"/>
        <v>#NAME?</v>
      </c>
      <c r="W26" s="4" t="str">
        <f t="shared" si="16"/>
        <v>#NAME?</v>
      </c>
      <c r="X26" s="4" t="str">
        <f t="shared" si="17"/>
        <v>#NAME?</v>
      </c>
      <c r="Y26" s="4" t="str">
        <f t="shared" si="18"/>
        <v>#NAME?</v>
      </c>
      <c r="Z26" s="4" t="str">
        <f t="shared" si="19"/>
        <v>#NAME?</v>
      </c>
      <c r="AA26" s="4" t="str">
        <f t="shared" si="20"/>
        <v>#NAME?</v>
      </c>
    </row>
    <row r="27">
      <c r="A27" s="3" t="s">
        <v>71</v>
      </c>
      <c r="B27" s="4" t="str">
        <f t="shared" si="1"/>
        <v>#NAME?</v>
      </c>
      <c r="C27" s="4" t="str">
        <f>SUM(B27, Apps!D27)</f>
        <v>#NAME?</v>
      </c>
      <c r="D27" s="4" t="str">
        <f t="shared" si="2"/>
        <v>#NAME?</v>
      </c>
      <c r="G27" s="4" t="str">
        <f t="shared" si="3"/>
        <v>#NAME?</v>
      </c>
      <c r="H27" s="4" t="str">
        <f t="shared" si="4"/>
        <v>#NAME?</v>
      </c>
      <c r="I27" s="4" t="str">
        <f t="shared" si="5"/>
        <v>#NAME?</v>
      </c>
      <c r="J27" s="4" t="str">
        <f t="shared" si="6"/>
        <v>#NAME?</v>
      </c>
      <c r="K27" s="14" t="str">
        <f t="shared" si="7"/>
        <v>#NAME?</v>
      </c>
      <c r="L27" s="4" t="str">
        <f t="shared" si="8"/>
        <v>#NAME?</v>
      </c>
      <c r="M27" s="14" t="str">
        <f t="shared" si="9"/>
        <v>#NAME?</v>
      </c>
      <c r="N27" s="14" t="str">
        <f t="shared" si="10"/>
        <v>#NAME?</v>
      </c>
      <c r="O27" s="14" t="str">
        <f t="shared" si="11"/>
        <v>#NAME?</v>
      </c>
      <c r="P27" s="15"/>
      <c r="Q27" s="15"/>
      <c r="R27" s="15"/>
      <c r="S27" s="15" t="str">
        <f t="shared" si="12"/>
        <v>#NAME?</v>
      </c>
      <c r="T27" s="15" t="str">
        <f t="shared" si="13"/>
        <v>#NAME?</v>
      </c>
      <c r="U27" s="15" t="str">
        <f t="shared" si="14"/>
        <v>#NAME?</v>
      </c>
      <c r="V27" s="15" t="str">
        <f t="shared" si="15"/>
        <v>#NAME?</v>
      </c>
      <c r="W27" s="4" t="str">
        <f t="shared" si="16"/>
        <v>#NAME?</v>
      </c>
      <c r="X27" s="4" t="str">
        <f t="shared" si="17"/>
        <v>#NAME?</v>
      </c>
      <c r="Y27" s="4" t="str">
        <f t="shared" si="18"/>
        <v>#NAME?</v>
      </c>
      <c r="Z27" s="4" t="str">
        <f t="shared" si="19"/>
        <v>#NAME?</v>
      </c>
      <c r="AA27" s="4" t="str">
        <f t="shared" si="20"/>
        <v>#NAME?</v>
      </c>
    </row>
    <row r="28">
      <c r="A28" s="3" t="s">
        <v>20</v>
      </c>
      <c r="B28" s="4" t="str">
        <f t="shared" si="1"/>
        <v>#NAME?</v>
      </c>
      <c r="C28" s="4" t="str">
        <f>SUM(B28, Apps!D28)</f>
        <v>#NAME?</v>
      </c>
      <c r="D28" s="4" t="str">
        <f t="shared" si="2"/>
        <v>#NAME?</v>
      </c>
      <c r="G28" s="4" t="str">
        <f t="shared" si="3"/>
        <v>#NAME?</v>
      </c>
      <c r="H28" s="4" t="str">
        <f t="shared" si="4"/>
        <v>#NAME?</v>
      </c>
      <c r="I28" s="4" t="str">
        <f t="shared" si="5"/>
        <v>#NAME?</v>
      </c>
      <c r="J28" s="4" t="str">
        <f t="shared" si="6"/>
        <v>#NAME?</v>
      </c>
      <c r="K28" s="14" t="str">
        <f t="shared" si="7"/>
        <v>#NAME?</v>
      </c>
      <c r="L28" s="4" t="str">
        <f t="shared" si="8"/>
        <v>#NAME?</v>
      </c>
      <c r="M28" s="14" t="str">
        <f t="shared" si="9"/>
        <v>#NAME?</v>
      </c>
      <c r="N28" s="14" t="str">
        <f t="shared" si="10"/>
        <v>#NAME?</v>
      </c>
      <c r="O28" s="14" t="str">
        <f t="shared" si="11"/>
        <v>#NAME?</v>
      </c>
      <c r="P28" s="15"/>
      <c r="Q28" s="15"/>
      <c r="R28" s="15"/>
      <c r="S28" s="15" t="str">
        <f t="shared" si="12"/>
        <v>#NAME?</v>
      </c>
      <c r="T28" s="15" t="str">
        <f t="shared" si="13"/>
        <v>#NAME?</v>
      </c>
      <c r="U28" s="15" t="str">
        <f t="shared" si="14"/>
        <v>#NAME?</v>
      </c>
      <c r="V28" s="15" t="str">
        <f t="shared" si="15"/>
        <v>#NAME?</v>
      </c>
      <c r="W28" s="4" t="str">
        <f t="shared" si="16"/>
        <v>#NAME?</v>
      </c>
      <c r="X28" s="4" t="str">
        <f t="shared" si="17"/>
        <v>#NAME?</v>
      </c>
      <c r="Y28" s="4" t="str">
        <f t="shared" si="18"/>
        <v>#NAME?</v>
      </c>
      <c r="Z28" s="4" t="str">
        <f t="shared" si="19"/>
        <v>#NAME?</v>
      </c>
      <c r="AA28" s="4" t="str">
        <f t="shared" si="20"/>
        <v>#NAME?</v>
      </c>
    </row>
    <row r="29">
      <c r="A29" s="3" t="s">
        <v>72</v>
      </c>
      <c r="B29" s="4" t="str">
        <f t="shared" si="1"/>
        <v>#NAME?</v>
      </c>
      <c r="C29" s="4" t="str">
        <f>SUM(B29, Apps!D29)</f>
        <v>#NAME?</v>
      </c>
      <c r="D29" s="4" t="str">
        <f t="shared" si="2"/>
        <v>#NAME?</v>
      </c>
      <c r="G29" s="4" t="str">
        <f t="shared" si="3"/>
        <v>#NAME?</v>
      </c>
      <c r="H29" s="4" t="str">
        <f t="shared" si="4"/>
        <v>#NAME?</v>
      </c>
      <c r="I29" s="4" t="str">
        <f t="shared" si="5"/>
        <v>#NAME?</v>
      </c>
      <c r="J29" s="4" t="str">
        <f t="shared" si="6"/>
        <v>#NAME?</v>
      </c>
      <c r="K29" s="14" t="str">
        <f t="shared" si="7"/>
        <v>#NAME?</v>
      </c>
      <c r="L29" s="4" t="str">
        <f t="shared" si="8"/>
        <v>#NAME?</v>
      </c>
      <c r="M29" s="14" t="str">
        <f t="shared" si="9"/>
        <v>#NAME?</v>
      </c>
      <c r="N29" s="14" t="str">
        <f t="shared" si="10"/>
        <v>#NAME?</v>
      </c>
      <c r="O29" s="14" t="str">
        <f t="shared" si="11"/>
        <v>#NAME?</v>
      </c>
      <c r="P29" s="15"/>
      <c r="Q29" s="15"/>
      <c r="R29" s="15"/>
      <c r="S29" s="15" t="str">
        <f t="shared" si="12"/>
        <v>#NAME?</v>
      </c>
      <c r="T29" s="15" t="str">
        <f t="shared" si="13"/>
        <v>#NAME?</v>
      </c>
      <c r="U29" s="15" t="str">
        <f t="shared" si="14"/>
        <v>#NAME?</v>
      </c>
      <c r="V29" s="15" t="str">
        <f t="shared" si="15"/>
        <v>#NAME?</v>
      </c>
      <c r="W29" s="4" t="str">
        <f t="shared" si="16"/>
        <v>#NAME?</v>
      </c>
      <c r="X29" s="4" t="str">
        <f t="shared" si="17"/>
        <v>#NAME?</v>
      </c>
      <c r="Y29" s="4" t="str">
        <f t="shared" si="18"/>
        <v>#NAME?</v>
      </c>
      <c r="Z29" s="4" t="str">
        <f t="shared" si="19"/>
        <v>#NAME?</v>
      </c>
      <c r="AA29" s="4" t="str">
        <f t="shared" si="20"/>
        <v>#NAME?</v>
      </c>
    </row>
    <row r="30">
      <c r="A30" s="3" t="s">
        <v>21</v>
      </c>
      <c r="B30" s="4" t="str">
        <f t="shared" si="1"/>
        <v>#NAME?</v>
      </c>
      <c r="C30" s="4" t="str">
        <f>SUM(B30, Apps!D30)</f>
        <v>#NAME?</v>
      </c>
      <c r="D30" s="4" t="str">
        <f t="shared" si="2"/>
        <v>#NAME?</v>
      </c>
      <c r="G30" s="4" t="str">
        <f t="shared" si="3"/>
        <v>#NAME?</v>
      </c>
      <c r="H30" s="4" t="str">
        <f t="shared" si="4"/>
        <v>#NAME?</v>
      </c>
      <c r="I30" s="4" t="str">
        <f t="shared" si="5"/>
        <v>#NAME?</v>
      </c>
      <c r="J30" s="4" t="str">
        <f t="shared" si="6"/>
        <v>#NAME?</v>
      </c>
      <c r="K30" s="14" t="str">
        <f t="shared" si="7"/>
        <v>#NAME?</v>
      </c>
      <c r="L30" s="4" t="str">
        <f t="shared" si="8"/>
        <v>#NAME?</v>
      </c>
      <c r="M30" s="14" t="str">
        <f t="shared" si="9"/>
        <v>#NAME?</v>
      </c>
      <c r="N30" s="14" t="str">
        <f t="shared" si="10"/>
        <v>#NAME?</v>
      </c>
      <c r="O30" s="14" t="str">
        <f t="shared" si="11"/>
        <v>#NAME?</v>
      </c>
      <c r="P30" s="15"/>
      <c r="Q30" s="15"/>
      <c r="R30" s="15"/>
      <c r="S30" s="15" t="str">
        <f t="shared" si="12"/>
        <v>#NAME?</v>
      </c>
      <c r="T30" s="15" t="str">
        <f t="shared" si="13"/>
        <v>#NAME?</v>
      </c>
      <c r="U30" s="15" t="str">
        <f t="shared" si="14"/>
        <v>#NAME?</v>
      </c>
      <c r="V30" s="15" t="str">
        <f t="shared" si="15"/>
        <v>#NAME?</v>
      </c>
      <c r="W30" s="4" t="str">
        <f t="shared" si="16"/>
        <v>#NAME?</v>
      </c>
      <c r="X30" s="4" t="str">
        <f t="shared" si="17"/>
        <v>#NAME?</v>
      </c>
      <c r="Y30" s="4" t="str">
        <f t="shared" si="18"/>
        <v>#NAME?</v>
      </c>
      <c r="Z30" s="4" t="str">
        <f t="shared" si="19"/>
        <v>#NAME?</v>
      </c>
      <c r="AA30" s="4" t="str">
        <f t="shared" si="20"/>
        <v>#NAME?</v>
      </c>
    </row>
    <row r="31">
      <c r="A31" s="3" t="s">
        <v>73</v>
      </c>
      <c r="B31" s="4" t="str">
        <f t="shared" si="1"/>
        <v>#NAME?</v>
      </c>
      <c r="C31" s="4" t="str">
        <f>SUM(B31, Apps!D31)</f>
        <v>#NAME?</v>
      </c>
      <c r="D31" s="4" t="str">
        <f t="shared" si="2"/>
        <v>#NAME?</v>
      </c>
      <c r="G31" s="4" t="str">
        <f t="shared" si="3"/>
        <v>#NAME?</v>
      </c>
      <c r="H31" s="4" t="str">
        <f t="shared" si="4"/>
        <v>#NAME?</v>
      </c>
      <c r="I31" s="4" t="str">
        <f t="shared" si="5"/>
        <v>#NAME?</v>
      </c>
      <c r="J31" s="4" t="str">
        <f t="shared" si="6"/>
        <v>#NAME?</v>
      </c>
      <c r="K31" s="14" t="str">
        <f t="shared" si="7"/>
        <v>#NAME?</v>
      </c>
      <c r="L31" s="4" t="str">
        <f t="shared" si="8"/>
        <v>#NAME?</v>
      </c>
      <c r="M31" s="14" t="str">
        <f t="shared" si="9"/>
        <v>#NAME?</v>
      </c>
      <c r="N31" s="14" t="str">
        <f t="shared" si="10"/>
        <v>#NAME?</v>
      </c>
      <c r="O31" s="14" t="str">
        <f t="shared" si="11"/>
        <v>#NAME?</v>
      </c>
      <c r="P31" s="15"/>
      <c r="Q31" s="15"/>
      <c r="R31" s="15"/>
      <c r="S31" s="15" t="str">
        <f t="shared" si="12"/>
        <v>#NAME?</v>
      </c>
      <c r="T31" s="15" t="str">
        <f t="shared" si="13"/>
        <v>#NAME?</v>
      </c>
      <c r="U31" s="15" t="str">
        <f t="shared" si="14"/>
        <v>#NAME?</v>
      </c>
      <c r="V31" s="15" t="str">
        <f t="shared" si="15"/>
        <v>#NAME?</v>
      </c>
      <c r="W31" s="4" t="str">
        <f t="shared" si="16"/>
        <v>#NAME?</v>
      </c>
      <c r="X31" s="4" t="str">
        <f t="shared" si="17"/>
        <v>#NAME?</v>
      </c>
      <c r="Y31" s="4" t="str">
        <f t="shared" si="18"/>
        <v>#NAME?</v>
      </c>
      <c r="Z31" s="4" t="str">
        <f t="shared" si="19"/>
        <v>#NAME?</v>
      </c>
      <c r="AA31" s="4" t="str">
        <f t="shared" si="20"/>
        <v>#NAME?</v>
      </c>
    </row>
    <row r="32">
      <c r="A32" s="3" t="s">
        <v>74</v>
      </c>
      <c r="B32" s="4" t="str">
        <f t="shared" si="1"/>
        <v>#NAME?</v>
      </c>
      <c r="C32" s="4" t="str">
        <f>SUM(B32, Apps!D32)</f>
        <v>#NAME?</v>
      </c>
      <c r="D32" s="4" t="str">
        <f t="shared" si="2"/>
        <v>#NAME?</v>
      </c>
      <c r="G32" s="4" t="str">
        <f t="shared" si="3"/>
        <v>#NAME?</v>
      </c>
      <c r="H32" s="4" t="str">
        <f t="shared" si="4"/>
        <v>#NAME?</v>
      </c>
      <c r="I32" s="4" t="str">
        <f t="shared" si="5"/>
        <v>#NAME?</v>
      </c>
      <c r="J32" s="4" t="str">
        <f t="shared" si="6"/>
        <v>#NAME?</v>
      </c>
      <c r="K32" s="14" t="str">
        <f t="shared" si="7"/>
        <v>#NAME?</v>
      </c>
      <c r="L32" s="4" t="str">
        <f t="shared" si="8"/>
        <v>#NAME?</v>
      </c>
      <c r="M32" s="14" t="str">
        <f t="shared" si="9"/>
        <v>#NAME?</v>
      </c>
      <c r="N32" s="14" t="str">
        <f t="shared" si="10"/>
        <v>#NAME?</v>
      </c>
      <c r="O32" s="14" t="str">
        <f t="shared" si="11"/>
        <v>#NAME?</v>
      </c>
      <c r="P32" s="15"/>
      <c r="Q32" s="15"/>
      <c r="R32" s="15"/>
      <c r="S32" s="15" t="str">
        <f t="shared" si="12"/>
        <v>#NAME?</v>
      </c>
      <c r="T32" s="15" t="str">
        <f t="shared" si="13"/>
        <v>#NAME?</v>
      </c>
      <c r="U32" s="15" t="str">
        <f t="shared" si="14"/>
        <v>#NAME?</v>
      </c>
      <c r="V32" s="15" t="str">
        <f t="shared" si="15"/>
        <v>#NAME?</v>
      </c>
      <c r="W32" s="4" t="str">
        <f t="shared" si="16"/>
        <v>#NAME?</v>
      </c>
      <c r="X32" s="4" t="str">
        <f t="shared" si="17"/>
        <v>#NAME?</v>
      </c>
      <c r="Y32" s="4" t="str">
        <f t="shared" si="18"/>
        <v>#NAME?</v>
      </c>
      <c r="Z32" s="4" t="str">
        <f t="shared" si="19"/>
        <v>#NAME?</v>
      </c>
      <c r="AA32" s="4" t="str">
        <f t="shared" si="20"/>
        <v>#NAME?</v>
      </c>
    </row>
    <row r="33">
      <c r="A33" s="3" t="s">
        <v>75</v>
      </c>
      <c r="B33" s="4" t="str">
        <f t="shared" si="1"/>
        <v>#NAME?</v>
      </c>
      <c r="C33" s="4" t="str">
        <f>SUM(B33, Apps!D33)</f>
        <v>#NAME?</v>
      </c>
      <c r="D33" s="4" t="str">
        <f t="shared" si="2"/>
        <v>#NAME?</v>
      </c>
      <c r="G33" s="4" t="str">
        <f t="shared" si="3"/>
        <v>#NAME?</v>
      </c>
      <c r="H33" s="4" t="str">
        <f t="shared" si="4"/>
        <v>#NAME?</v>
      </c>
      <c r="I33" s="4" t="str">
        <f t="shared" si="5"/>
        <v>#NAME?</v>
      </c>
      <c r="J33" s="4" t="str">
        <f t="shared" si="6"/>
        <v>#NAME?</v>
      </c>
      <c r="K33" s="14" t="str">
        <f t="shared" si="7"/>
        <v>#NAME?</v>
      </c>
      <c r="L33" s="4" t="str">
        <f t="shared" si="8"/>
        <v>#NAME?</v>
      </c>
      <c r="M33" s="14" t="str">
        <f t="shared" si="9"/>
        <v>#NAME?</v>
      </c>
      <c r="N33" s="14" t="str">
        <f t="shared" si="10"/>
        <v>#NAME?</v>
      </c>
      <c r="O33" s="14" t="str">
        <f t="shared" si="11"/>
        <v>#NAME?</v>
      </c>
      <c r="P33" s="15"/>
      <c r="Q33" s="15"/>
      <c r="R33" s="15"/>
      <c r="S33" s="15" t="str">
        <f t="shared" si="12"/>
        <v>#NAME?</v>
      </c>
      <c r="T33" s="15" t="str">
        <f t="shared" si="13"/>
        <v>#NAME?</v>
      </c>
      <c r="U33" s="15" t="str">
        <f t="shared" si="14"/>
        <v>#NAME?</v>
      </c>
      <c r="V33" s="15" t="str">
        <f t="shared" si="15"/>
        <v>#NAME?</v>
      </c>
      <c r="W33" s="4" t="str">
        <f t="shared" si="16"/>
        <v>#NAME?</v>
      </c>
      <c r="X33" s="4" t="str">
        <f t="shared" si="17"/>
        <v>#NAME?</v>
      </c>
      <c r="Y33" s="4" t="str">
        <f t="shared" si="18"/>
        <v>#NAME?</v>
      </c>
      <c r="Z33" s="4" t="str">
        <f t="shared" si="19"/>
        <v>#NAME?</v>
      </c>
      <c r="AA33" s="4" t="str">
        <f t="shared" si="20"/>
        <v>#NAME?</v>
      </c>
    </row>
    <row r="34">
      <c r="A34" s="3" t="s">
        <v>38</v>
      </c>
      <c r="B34" s="4" t="str">
        <f t="shared" si="1"/>
        <v>#NAME?</v>
      </c>
      <c r="C34" s="4" t="str">
        <f>SUM(B34, Apps!D34)</f>
        <v>#NAME?</v>
      </c>
      <c r="D34" s="4" t="str">
        <f t="shared" si="2"/>
        <v>#NAME?</v>
      </c>
      <c r="G34" s="4" t="str">
        <f t="shared" si="3"/>
        <v>#NAME?</v>
      </c>
      <c r="H34" s="4" t="str">
        <f t="shared" si="4"/>
        <v>#NAME?</v>
      </c>
      <c r="I34" s="4" t="str">
        <f t="shared" si="5"/>
        <v>#NAME?</v>
      </c>
      <c r="J34" s="4" t="str">
        <f t="shared" si="6"/>
        <v>#NAME?</v>
      </c>
      <c r="K34" s="14" t="str">
        <f t="shared" si="7"/>
        <v>#NAME?</v>
      </c>
      <c r="L34" s="4" t="str">
        <f t="shared" si="8"/>
        <v>#NAME?</v>
      </c>
      <c r="M34" s="14" t="str">
        <f t="shared" si="9"/>
        <v>#NAME?</v>
      </c>
      <c r="N34" s="14" t="str">
        <f t="shared" si="10"/>
        <v>#NAME?</v>
      </c>
      <c r="O34" s="14" t="str">
        <f t="shared" si="11"/>
        <v>#NAME?</v>
      </c>
      <c r="P34" s="15"/>
      <c r="Q34" s="15"/>
      <c r="R34" s="15"/>
      <c r="S34" s="15" t="str">
        <f t="shared" si="12"/>
        <v>#NAME?</v>
      </c>
      <c r="T34" s="15" t="str">
        <f t="shared" si="13"/>
        <v>#NAME?</v>
      </c>
      <c r="U34" s="15" t="str">
        <f t="shared" si="14"/>
        <v>#NAME?</v>
      </c>
      <c r="V34" s="15" t="str">
        <f t="shared" si="15"/>
        <v>#NAME?</v>
      </c>
      <c r="W34" s="4" t="str">
        <f t="shared" si="16"/>
        <v>#NAME?</v>
      </c>
      <c r="X34" s="4" t="str">
        <f t="shared" si="17"/>
        <v>#NAME?</v>
      </c>
      <c r="Y34" s="4" t="str">
        <f t="shared" si="18"/>
        <v>#NAME?</v>
      </c>
      <c r="Z34" s="4" t="str">
        <f t="shared" si="19"/>
        <v>#NAME?</v>
      </c>
      <c r="AA34" s="4" t="str">
        <f t="shared" si="20"/>
        <v>#NAME?</v>
      </c>
    </row>
    <row r="35">
      <c r="A35" s="3" t="s">
        <v>15</v>
      </c>
      <c r="B35" s="4" t="str">
        <f t="shared" si="1"/>
        <v>#NAME?</v>
      </c>
      <c r="C35" s="4" t="str">
        <f>SUM(B35, Apps!D35)</f>
        <v>#NAME?</v>
      </c>
      <c r="D35" s="4" t="str">
        <f t="shared" si="2"/>
        <v>#NAME?</v>
      </c>
      <c r="G35" s="4" t="str">
        <f t="shared" si="3"/>
        <v>#NAME?</v>
      </c>
      <c r="H35" s="4" t="str">
        <f t="shared" si="4"/>
        <v>#NAME?</v>
      </c>
      <c r="I35" s="4" t="str">
        <f t="shared" si="5"/>
        <v>#NAME?</v>
      </c>
      <c r="J35" s="4" t="str">
        <f t="shared" si="6"/>
        <v>#NAME?</v>
      </c>
      <c r="K35" s="14" t="str">
        <f t="shared" si="7"/>
        <v>#NAME?</v>
      </c>
      <c r="L35" s="4" t="str">
        <f t="shared" si="8"/>
        <v>#NAME?</v>
      </c>
      <c r="M35" s="14" t="str">
        <f t="shared" si="9"/>
        <v>#NAME?</v>
      </c>
      <c r="N35" s="14" t="str">
        <f t="shared" si="10"/>
        <v>#NAME?</v>
      </c>
      <c r="O35" s="14" t="str">
        <f t="shared" si="11"/>
        <v>#NAME?</v>
      </c>
      <c r="P35" s="15"/>
      <c r="Q35" s="15"/>
      <c r="R35" s="15"/>
      <c r="S35" s="15" t="str">
        <f t="shared" si="12"/>
        <v>#NAME?</v>
      </c>
      <c r="T35" s="15" t="str">
        <f t="shared" si="13"/>
        <v>#NAME?</v>
      </c>
      <c r="U35" s="15" t="str">
        <f t="shared" si="14"/>
        <v>#NAME?</v>
      </c>
      <c r="V35" s="15" t="str">
        <f t="shared" si="15"/>
        <v>#NAME?</v>
      </c>
      <c r="W35" s="4" t="str">
        <f t="shared" si="16"/>
        <v>#NAME?</v>
      </c>
      <c r="X35" s="4" t="str">
        <f t="shared" si="17"/>
        <v>#NAME?</v>
      </c>
      <c r="Y35" s="4" t="str">
        <f t="shared" si="18"/>
        <v>#NAME?</v>
      </c>
      <c r="Z35" s="4" t="str">
        <f t="shared" si="19"/>
        <v>#NAME?</v>
      </c>
      <c r="AA35" s="4" t="str">
        <f t="shared" si="20"/>
        <v>#NAME?</v>
      </c>
    </row>
    <row r="36">
      <c r="K36" s="14"/>
      <c r="M36" s="14"/>
      <c r="N36" s="14"/>
    </row>
    <row r="37">
      <c r="K37" s="14"/>
      <c r="M37" s="14"/>
      <c r="N37" s="14"/>
    </row>
    <row r="38">
      <c r="K38" s="14"/>
      <c r="M38" s="14"/>
      <c r="N38" s="14"/>
    </row>
    <row r="39">
      <c r="K39" s="14"/>
      <c r="M39" s="14"/>
      <c r="N39" s="14"/>
    </row>
    <row r="40">
      <c r="K40" s="14"/>
      <c r="M40" s="14"/>
      <c r="N40" s="14"/>
    </row>
    <row r="41">
      <c r="K41" s="14"/>
      <c r="M41" s="14"/>
      <c r="N41" s="14"/>
    </row>
    <row r="42">
      <c r="K42" s="14"/>
      <c r="M42" s="14"/>
      <c r="N42" s="14"/>
    </row>
    <row r="43">
      <c r="K43" s="14"/>
      <c r="M43" s="14"/>
      <c r="N43" s="14"/>
    </row>
    <row r="44">
      <c r="K44" s="14"/>
      <c r="M44" s="14"/>
      <c r="N44" s="14"/>
    </row>
    <row r="45">
      <c r="K45" s="14"/>
      <c r="M45" s="14"/>
      <c r="N45" s="14"/>
    </row>
    <row r="46">
      <c r="K46" s="14"/>
      <c r="M46" s="14"/>
      <c r="N46" s="14"/>
    </row>
    <row r="47">
      <c r="K47" s="14"/>
      <c r="M47" s="14"/>
      <c r="N47" s="14"/>
    </row>
    <row r="48">
      <c r="K48" s="14"/>
      <c r="M48" s="14"/>
      <c r="N48" s="14"/>
    </row>
    <row r="49">
      <c r="K49" s="14"/>
      <c r="M49" s="14"/>
      <c r="N49" s="14"/>
    </row>
    <row r="50">
      <c r="K50" s="14"/>
      <c r="M50" s="14"/>
      <c r="N50" s="14"/>
    </row>
    <row r="51">
      <c r="K51" s="14"/>
      <c r="M51" s="14"/>
      <c r="N51" s="14"/>
    </row>
    <row r="52">
      <c r="K52" s="14"/>
      <c r="M52" s="14"/>
      <c r="N52" s="14"/>
    </row>
    <row r="53">
      <c r="K53" s="14"/>
      <c r="M53" s="14"/>
      <c r="N53" s="14"/>
    </row>
    <row r="54">
      <c r="K54" s="14"/>
      <c r="M54" s="14"/>
      <c r="N54" s="14"/>
    </row>
    <row r="55">
      <c r="K55" s="14"/>
      <c r="M55" s="14"/>
      <c r="N55" s="14"/>
    </row>
    <row r="56">
      <c r="K56" s="14"/>
      <c r="M56" s="14"/>
      <c r="N56" s="14"/>
    </row>
    <row r="57">
      <c r="K57" s="14"/>
      <c r="M57" s="14"/>
      <c r="N57" s="14"/>
    </row>
    <row r="58">
      <c r="K58" s="14"/>
      <c r="M58" s="14"/>
      <c r="N58" s="14"/>
    </row>
    <row r="59">
      <c r="K59" s="14"/>
      <c r="M59" s="14"/>
      <c r="N59" s="14"/>
    </row>
    <row r="60">
      <c r="K60" s="14"/>
      <c r="M60" s="14"/>
      <c r="N60" s="14"/>
    </row>
    <row r="61">
      <c r="K61" s="14"/>
      <c r="M61" s="14"/>
      <c r="N61" s="14"/>
    </row>
    <row r="62">
      <c r="K62" s="14"/>
      <c r="M62" s="14"/>
      <c r="N62" s="14"/>
    </row>
    <row r="63">
      <c r="K63" s="14"/>
      <c r="M63" s="14"/>
      <c r="N63" s="14"/>
    </row>
    <row r="64">
      <c r="K64" s="14"/>
      <c r="M64" s="14"/>
      <c r="N64" s="14"/>
    </row>
    <row r="65">
      <c r="K65" s="14"/>
      <c r="M65" s="14"/>
      <c r="N65" s="14"/>
    </row>
    <row r="66">
      <c r="K66" s="14"/>
      <c r="M66" s="14"/>
      <c r="N66" s="14"/>
    </row>
    <row r="67">
      <c r="K67" s="14"/>
      <c r="M67" s="14"/>
      <c r="N67" s="14"/>
    </row>
    <row r="68">
      <c r="K68" s="14"/>
      <c r="M68" s="14"/>
      <c r="N68" s="14"/>
    </row>
    <row r="69">
      <c r="K69" s="14"/>
      <c r="M69" s="14"/>
      <c r="N69" s="14"/>
    </row>
    <row r="70">
      <c r="K70" s="14"/>
      <c r="M70" s="14"/>
      <c r="N70" s="14"/>
    </row>
    <row r="71">
      <c r="K71" s="14"/>
      <c r="M71" s="14"/>
      <c r="N71" s="14"/>
    </row>
    <row r="72">
      <c r="K72" s="14"/>
      <c r="M72" s="14"/>
      <c r="N72" s="14"/>
    </row>
    <row r="73">
      <c r="K73" s="14"/>
      <c r="M73" s="14"/>
      <c r="N73" s="14"/>
    </row>
    <row r="74">
      <c r="K74" s="14"/>
      <c r="M74" s="14"/>
      <c r="N74" s="14"/>
    </row>
    <row r="75">
      <c r="K75" s="14"/>
      <c r="M75" s="14"/>
      <c r="N75" s="14"/>
    </row>
    <row r="76">
      <c r="K76" s="14"/>
      <c r="M76" s="14"/>
      <c r="N76" s="14"/>
    </row>
    <row r="77">
      <c r="K77" s="14"/>
      <c r="M77" s="14"/>
      <c r="N77" s="14"/>
    </row>
    <row r="78">
      <c r="K78" s="14"/>
      <c r="M78" s="14"/>
      <c r="N78" s="14"/>
    </row>
    <row r="79">
      <c r="K79" s="14"/>
      <c r="M79" s="14"/>
      <c r="N79" s="14"/>
    </row>
    <row r="80">
      <c r="K80" s="14"/>
      <c r="M80" s="14"/>
      <c r="N80" s="14"/>
    </row>
    <row r="81">
      <c r="K81" s="14"/>
      <c r="M81" s="14"/>
      <c r="N81" s="14"/>
    </row>
    <row r="82">
      <c r="K82" s="14"/>
      <c r="M82" s="14"/>
      <c r="N82" s="14"/>
    </row>
    <row r="83">
      <c r="K83" s="14"/>
      <c r="M83" s="14"/>
      <c r="N83" s="14"/>
    </row>
    <row r="84">
      <c r="K84" s="14"/>
      <c r="M84" s="14"/>
      <c r="N84" s="14"/>
    </row>
    <row r="85">
      <c r="K85" s="14"/>
      <c r="M85" s="14"/>
      <c r="N85" s="14"/>
    </row>
    <row r="86">
      <c r="K86" s="14"/>
      <c r="M86" s="14"/>
      <c r="N86" s="14"/>
    </row>
    <row r="87">
      <c r="K87" s="14"/>
      <c r="M87" s="14"/>
      <c r="N87" s="14"/>
    </row>
    <row r="88">
      <c r="K88" s="14"/>
      <c r="M88" s="14"/>
      <c r="N88" s="14"/>
    </row>
    <row r="89">
      <c r="K89" s="14"/>
      <c r="M89" s="14"/>
      <c r="N89" s="14"/>
    </row>
    <row r="90">
      <c r="K90" s="14"/>
      <c r="M90" s="14"/>
      <c r="N90" s="14"/>
    </row>
    <row r="91">
      <c r="K91" s="14"/>
      <c r="M91" s="14"/>
      <c r="N91" s="14"/>
    </row>
    <row r="92">
      <c r="K92" s="14"/>
      <c r="M92" s="14"/>
      <c r="N92" s="14"/>
    </row>
    <row r="93">
      <c r="K93" s="14"/>
      <c r="M93" s="14"/>
      <c r="N93" s="14"/>
    </row>
    <row r="94">
      <c r="K94" s="14"/>
      <c r="M94" s="14"/>
      <c r="N94" s="14"/>
    </row>
    <row r="95">
      <c r="K95" s="14"/>
      <c r="M95" s="14"/>
      <c r="N95" s="14"/>
    </row>
    <row r="96">
      <c r="K96" s="14"/>
      <c r="M96" s="14"/>
      <c r="N96" s="14"/>
    </row>
    <row r="97">
      <c r="K97" s="14"/>
      <c r="M97" s="14"/>
      <c r="N97" s="14"/>
    </row>
    <row r="98">
      <c r="K98" s="14"/>
      <c r="M98" s="14"/>
      <c r="N98" s="14"/>
    </row>
    <row r="99">
      <c r="K99" s="14"/>
      <c r="M99" s="14"/>
      <c r="N99" s="14"/>
    </row>
    <row r="100">
      <c r="K100" s="14"/>
      <c r="M100" s="14"/>
      <c r="N100" s="14"/>
    </row>
    <row r="101">
      <c r="K101" s="14"/>
      <c r="M101" s="14"/>
      <c r="N101" s="14"/>
    </row>
    <row r="102">
      <c r="K102" s="14"/>
      <c r="M102" s="14"/>
      <c r="N102" s="14"/>
    </row>
    <row r="103">
      <c r="K103" s="14"/>
      <c r="M103" s="14"/>
      <c r="N103" s="14"/>
    </row>
    <row r="104">
      <c r="K104" s="14"/>
      <c r="M104" s="14"/>
      <c r="N104" s="14"/>
    </row>
    <row r="105">
      <c r="K105" s="14"/>
      <c r="M105" s="14"/>
      <c r="N105" s="14"/>
    </row>
    <row r="106">
      <c r="K106" s="14"/>
      <c r="M106" s="14"/>
      <c r="N106" s="14"/>
    </row>
    <row r="107">
      <c r="K107" s="14"/>
      <c r="M107" s="14"/>
      <c r="N107" s="14"/>
    </row>
    <row r="108">
      <c r="K108" s="14"/>
      <c r="M108" s="14"/>
      <c r="N108" s="14"/>
    </row>
    <row r="109">
      <c r="K109" s="14"/>
      <c r="M109" s="14"/>
      <c r="N109" s="14"/>
    </row>
    <row r="110">
      <c r="K110" s="14"/>
      <c r="M110" s="14"/>
      <c r="N110" s="14"/>
    </row>
    <row r="111">
      <c r="K111" s="14"/>
      <c r="M111" s="14"/>
      <c r="N111" s="14"/>
    </row>
    <row r="112">
      <c r="K112" s="14"/>
      <c r="M112" s="14"/>
      <c r="N112" s="14"/>
    </row>
    <row r="113">
      <c r="K113" s="14"/>
      <c r="M113" s="14"/>
      <c r="N113" s="14"/>
    </row>
    <row r="114">
      <c r="K114" s="14"/>
      <c r="M114" s="14"/>
      <c r="N114" s="14"/>
    </row>
    <row r="115">
      <c r="K115" s="14"/>
      <c r="M115" s="14"/>
      <c r="N115" s="14"/>
    </row>
    <row r="116">
      <c r="K116" s="14"/>
      <c r="M116" s="14"/>
      <c r="N116" s="14"/>
    </row>
    <row r="117">
      <c r="K117" s="14"/>
      <c r="M117" s="14"/>
      <c r="N117" s="14"/>
    </row>
    <row r="118">
      <c r="K118" s="14"/>
      <c r="M118" s="14"/>
      <c r="N118" s="14"/>
    </row>
    <row r="119">
      <c r="K119" s="14"/>
      <c r="M119" s="14"/>
      <c r="N119" s="14"/>
    </row>
    <row r="120">
      <c r="K120" s="14"/>
      <c r="M120" s="14"/>
      <c r="N120" s="14"/>
    </row>
    <row r="121">
      <c r="K121" s="14"/>
      <c r="M121" s="14"/>
      <c r="N121" s="14"/>
    </row>
    <row r="122">
      <c r="K122" s="14"/>
      <c r="M122" s="14"/>
      <c r="N122" s="14"/>
    </row>
    <row r="123">
      <c r="K123" s="14"/>
      <c r="M123" s="14"/>
      <c r="N123" s="14"/>
    </row>
    <row r="124">
      <c r="K124" s="14"/>
      <c r="M124" s="14"/>
      <c r="N124" s="14"/>
    </row>
    <row r="125">
      <c r="K125" s="14"/>
      <c r="M125" s="14"/>
      <c r="N125" s="14"/>
    </row>
    <row r="126">
      <c r="K126" s="14"/>
      <c r="M126" s="14"/>
      <c r="N126" s="14"/>
    </row>
    <row r="127">
      <c r="K127" s="14"/>
      <c r="M127" s="14"/>
      <c r="N127" s="14"/>
    </row>
    <row r="128">
      <c r="K128" s="14"/>
      <c r="M128" s="14"/>
      <c r="N128" s="14"/>
    </row>
    <row r="129">
      <c r="K129" s="14"/>
      <c r="M129" s="14"/>
      <c r="N129" s="14"/>
    </row>
    <row r="130">
      <c r="K130" s="14"/>
      <c r="M130" s="14"/>
      <c r="N130" s="14"/>
    </row>
    <row r="131">
      <c r="K131" s="14"/>
      <c r="M131" s="14"/>
      <c r="N131" s="14"/>
    </row>
    <row r="132">
      <c r="K132" s="14"/>
      <c r="M132" s="14"/>
      <c r="N132" s="14"/>
    </row>
    <row r="133">
      <c r="K133" s="14"/>
      <c r="M133" s="14"/>
      <c r="N133" s="14"/>
    </row>
    <row r="134">
      <c r="K134" s="14"/>
      <c r="M134" s="14"/>
      <c r="N134" s="14"/>
    </row>
    <row r="135">
      <c r="K135" s="14"/>
      <c r="M135" s="14"/>
      <c r="N135" s="14"/>
    </row>
    <row r="136">
      <c r="K136" s="14"/>
      <c r="M136" s="14"/>
      <c r="N136" s="14"/>
    </row>
    <row r="137">
      <c r="K137" s="14"/>
      <c r="M137" s="14"/>
      <c r="N137" s="14"/>
    </row>
    <row r="138">
      <c r="K138" s="14"/>
      <c r="M138" s="14"/>
      <c r="N138" s="14"/>
    </row>
    <row r="139">
      <c r="K139" s="14"/>
      <c r="M139" s="14"/>
      <c r="N139" s="14"/>
    </row>
    <row r="140">
      <c r="K140" s="14"/>
      <c r="M140" s="14"/>
      <c r="N140" s="14"/>
    </row>
    <row r="141">
      <c r="K141" s="14"/>
      <c r="M141" s="14"/>
      <c r="N141" s="14"/>
    </row>
    <row r="142">
      <c r="K142" s="14"/>
      <c r="M142" s="14"/>
      <c r="N142" s="14"/>
    </row>
    <row r="143">
      <c r="K143" s="14"/>
      <c r="M143" s="14"/>
      <c r="N143" s="14"/>
    </row>
    <row r="144">
      <c r="K144" s="14"/>
      <c r="M144" s="14"/>
      <c r="N144" s="14"/>
    </row>
    <row r="145">
      <c r="K145" s="14"/>
      <c r="M145" s="14"/>
      <c r="N145" s="14"/>
    </row>
    <row r="146">
      <c r="K146" s="14"/>
      <c r="M146" s="14"/>
      <c r="N146" s="14"/>
    </row>
    <row r="147">
      <c r="K147" s="14"/>
      <c r="M147" s="14"/>
      <c r="N147" s="14"/>
    </row>
    <row r="148">
      <c r="K148" s="14"/>
      <c r="M148" s="14"/>
      <c r="N148" s="14"/>
    </row>
    <row r="149">
      <c r="K149" s="14"/>
      <c r="M149" s="14"/>
      <c r="N149" s="14"/>
    </row>
    <row r="150">
      <c r="K150" s="14"/>
      <c r="M150" s="14"/>
      <c r="N150" s="14"/>
    </row>
    <row r="151">
      <c r="K151" s="14"/>
      <c r="M151" s="14"/>
      <c r="N151" s="14"/>
    </row>
    <row r="152">
      <c r="K152" s="14"/>
      <c r="M152" s="14"/>
      <c r="N152" s="14"/>
    </row>
    <row r="153">
      <c r="K153" s="14"/>
      <c r="M153" s="14"/>
      <c r="N153" s="14"/>
    </row>
    <row r="154">
      <c r="K154" s="14"/>
      <c r="M154" s="14"/>
      <c r="N154" s="14"/>
    </row>
    <row r="155">
      <c r="K155" s="14"/>
      <c r="M155" s="14"/>
      <c r="N155" s="14"/>
    </row>
    <row r="156">
      <c r="K156" s="14"/>
      <c r="M156" s="14"/>
      <c r="N156" s="14"/>
    </row>
    <row r="157">
      <c r="K157" s="14"/>
      <c r="M157" s="14"/>
      <c r="N157" s="14"/>
    </row>
    <row r="158">
      <c r="K158" s="14"/>
      <c r="M158" s="14"/>
      <c r="N158" s="14"/>
    </row>
    <row r="159">
      <c r="K159" s="14"/>
      <c r="M159" s="14"/>
      <c r="N159" s="14"/>
    </row>
    <row r="160">
      <c r="K160" s="14"/>
      <c r="M160" s="14"/>
      <c r="N160" s="14"/>
    </row>
    <row r="161">
      <c r="K161" s="14"/>
      <c r="M161" s="14"/>
      <c r="N161" s="14"/>
    </row>
    <row r="162">
      <c r="K162" s="14"/>
      <c r="M162" s="14"/>
      <c r="N162" s="14"/>
    </row>
    <row r="163">
      <c r="K163" s="14"/>
      <c r="M163" s="14"/>
      <c r="N163" s="14"/>
    </row>
    <row r="164">
      <c r="K164" s="14"/>
      <c r="M164" s="14"/>
      <c r="N164" s="14"/>
    </row>
    <row r="165">
      <c r="K165" s="14"/>
      <c r="M165" s="14"/>
      <c r="N165" s="14"/>
    </row>
    <row r="166">
      <c r="K166" s="14"/>
      <c r="M166" s="14"/>
      <c r="N166" s="14"/>
    </row>
    <row r="167">
      <c r="K167" s="14"/>
      <c r="M167" s="14"/>
      <c r="N167" s="14"/>
    </row>
    <row r="168">
      <c r="K168" s="14"/>
      <c r="M168" s="14"/>
      <c r="N168" s="14"/>
    </row>
    <row r="169">
      <c r="K169" s="14"/>
      <c r="M169" s="14"/>
      <c r="N169" s="14"/>
    </row>
    <row r="170">
      <c r="K170" s="14"/>
      <c r="M170" s="14"/>
      <c r="N170" s="14"/>
    </row>
    <row r="171">
      <c r="K171" s="14"/>
      <c r="M171" s="14"/>
      <c r="N171" s="14"/>
    </row>
    <row r="172">
      <c r="K172" s="14"/>
      <c r="M172" s="14"/>
      <c r="N172" s="14"/>
    </row>
    <row r="173">
      <c r="K173" s="14"/>
      <c r="M173" s="14"/>
      <c r="N173" s="14"/>
    </row>
    <row r="174">
      <c r="K174" s="14"/>
      <c r="M174" s="14"/>
      <c r="N174" s="14"/>
    </row>
    <row r="175">
      <c r="K175" s="14"/>
      <c r="M175" s="14"/>
      <c r="N175" s="14"/>
    </row>
    <row r="176">
      <c r="K176" s="14"/>
      <c r="M176" s="14"/>
      <c r="N176" s="14"/>
    </row>
    <row r="177">
      <c r="K177" s="14"/>
      <c r="M177" s="14"/>
      <c r="N177" s="14"/>
    </row>
    <row r="178">
      <c r="K178" s="14"/>
      <c r="M178" s="14"/>
      <c r="N178" s="14"/>
    </row>
    <row r="179">
      <c r="K179" s="14"/>
      <c r="M179" s="14"/>
      <c r="N179" s="14"/>
    </row>
    <row r="180">
      <c r="K180" s="14"/>
      <c r="M180" s="14"/>
      <c r="N180" s="14"/>
    </row>
    <row r="181">
      <c r="K181" s="14"/>
      <c r="M181" s="14"/>
      <c r="N181" s="14"/>
    </row>
    <row r="182">
      <c r="K182" s="14"/>
      <c r="M182" s="14"/>
      <c r="N182" s="14"/>
    </row>
    <row r="183">
      <c r="K183" s="14"/>
      <c r="M183" s="14"/>
      <c r="N183" s="14"/>
    </row>
    <row r="184">
      <c r="K184" s="14"/>
      <c r="M184" s="14"/>
      <c r="N184" s="14"/>
    </row>
    <row r="185">
      <c r="K185" s="14"/>
      <c r="M185" s="14"/>
      <c r="N185" s="14"/>
    </row>
    <row r="186">
      <c r="K186" s="14"/>
      <c r="M186" s="14"/>
      <c r="N186" s="14"/>
    </row>
    <row r="187">
      <c r="K187" s="14"/>
      <c r="M187" s="14"/>
      <c r="N187" s="14"/>
    </row>
    <row r="188">
      <c r="K188" s="14"/>
      <c r="M188" s="14"/>
      <c r="N188" s="14"/>
    </row>
    <row r="189">
      <c r="K189" s="14"/>
      <c r="M189" s="14"/>
      <c r="N189" s="14"/>
    </row>
    <row r="190">
      <c r="K190" s="14"/>
      <c r="M190" s="14"/>
      <c r="N190" s="14"/>
    </row>
    <row r="191">
      <c r="K191" s="14"/>
      <c r="M191" s="14"/>
      <c r="N191" s="14"/>
    </row>
    <row r="192">
      <c r="K192" s="14"/>
      <c r="M192" s="14"/>
      <c r="N192" s="14"/>
    </row>
    <row r="193">
      <c r="K193" s="14"/>
      <c r="M193" s="14"/>
      <c r="N193" s="14"/>
    </row>
    <row r="194">
      <c r="K194" s="14"/>
      <c r="M194" s="14"/>
      <c r="N194" s="14"/>
    </row>
    <row r="195">
      <c r="K195" s="14"/>
      <c r="M195" s="14"/>
      <c r="N195" s="14"/>
    </row>
    <row r="196">
      <c r="K196" s="14"/>
      <c r="M196" s="14"/>
      <c r="N196" s="14"/>
    </row>
    <row r="197">
      <c r="K197" s="14"/>
      <c r="M197" s="14"/>
      <c r="N197" s="14"/>
    </row>
    <row r="198">
      <c r="K198" s="14"/>
      <c r="M198" s="14"/>
      <c r="N198" s="14"/>
    </row>
    <row r="199">
      <c r="K199" s="14"/>
      <c r="M199" s="14"/>
      <c r="N199" s="14"/>
    </row>
    <row r="200">
      <c r="K200" s="14"/>
      <c r="M200" s="14"/>
      <c r="N200" s="14"/>
    </row>
    <row r="201">
      <c r="K201" s="14"/>
      <c r="M201" s="14"/>
      <c r="N201" s="14"/>
    </row>
    <row r="202">
      <c r="K202" s="14"/>
      <c r="M202" s="14"/>
      <c r="N202" s="14"/>
    </row>
    <row r="203">
      <c r="K203" s="14"/>
      <c r="M203" s="14"/>
      <c r="N203" s="14"/>
    </row>
    <row r="204">
      <c r="K204" s="14"/>
      <c r="M204" s="14"/>
      <c r="N204" s="14"/>
    </row>
    <row r="205">
      <c r="K205" s="14"/>
      <c r="M205" s="14"/>
      <c r="N205" s="14"/>
    </row>
    <row r="206">
      <c r="K206" s="14"/>
      <c r="M206" s="14"/>
      <c r="N206" s="14"/>
    </row>
    <row r="207">
      <c r="K207" s="14"/>
      <c r="M207" s="14"/>
      <c r="N207" s="14"/>
    </row>
    <row r="208">
      <c r="K208" s="14"/>
      <c r="M208" s="14"/>
      <c r="N208" s="14"/>
    </row>
    <row r="209">
      <c r="K209" s="14"/>
      <c r="M209" s="14"/>
      <c r="N209" s="14"/>
    </row>
    <row r="210">
      <c r="K210" s="14"/>
      <c r="M210" s="14"/>
      <c r="N210" s="14"/>
    </row>
    <row r="211">
      <c r="K211" s="14"/>
      <c r="M211" s="14"/>
      <c r="N211" s="14"/>
    </row>
    <row r="212">
      <c r="K212" s="14"/>
      <c r="M212" s="14"/>
      <c r="N212" s="14"/>
    </row>
    <row r="213">
      <c r="K213" s="14"/>
      <c r="M213" s="14"/>
      <c r="N213" s="14"/>
    </row>
    <row r="214">
      <c r="K214" s="14"/>
      <c r="M214" s="14"/>
      <c r="N214" s="14"/>
    </row>
    <row r="215">
      <c r="K215" s="14"/>
      <c r="M215" s="14"/>
      <c r="N215" s="14"/>
    </row>
    <row r="216">
      <c r="K216" s="14"/>
      <c r="M216" s="14"/>
      <c r="N216" s="14"/>
    </row>
    <row r="217">
      <c r="K217" s="14"/>
      <c r="M217" s="14"/>
      <c r="N217" s="14"/>
    </row>
    <row r="218">
      <c r="K218" s="14"/>
      <c r="M218" s="14"/>
      <c r="N218" s="14"/>
    </row>
    <row r="219">
      <c r="K219" s="14"/>
      <c r="M219" s="14"/>
      <c r="N219" s="14"/>
    </row>
    <row r="220">
      <c r="K220" s="14"/>
      <c r="M220" s="14"/>
      <c r="N220" s="14"/>
    </row>
    <row r="221">
      <c r="K221" s="14"/>
      <c r="M221" s="14"/>
      <c r="N221" s="14"/>
    </row>
    <row r="222">
      <c r="K222" s="14"/>
      <c r="M222" s="14"/>
      <c r="N222" s="14"/>
    </row>
    <row r="223">
      <c r="K223" s="14"/>
      <c r="M223" s="14"/>
      <c r="N223" s="14"/>
    </row>
    <row r="224">
      <c r="K224" s="14"/>
      <c r="M224" s="14"/>
      <c r="N224" s="14"/>
    </row>
    <row r="225">
      <c r="K225" s="14"/>
      <c r="M225" s="14"/>
      <c r="N225" s="14"/>
    </row>
    <row r="226">
      <c r="K226" s="14"/>
      <c r="M226" s="14"/>
      <c r="N226" s="14"/>
    </row>
    <row r="227">
      <c r="K227" s="14"/>
      <c r="M227" s="14"/>
      <c r="N227" s="14"/>
    </row>
    <row r="228">
      <c r="K228" s="14"/>
      <c r="M228" s="14"/>
      <c r="N228" s="14"/>
    </row>
    <row r="229">
      <c r="K229" s="14"/>
      <c r="M229" s="14"/>
      <c r="N229" s="14"/>
    </row>
    <row r="230">
      <c r="K230" s="14"/>
      <c r="M230" s="14"/>
      <c r="N230" s="14"/>
    </row>
    <row r="231">
      <c r="K231" s="14"/>
      <c r="M231" s="14"/>
      <c r="N231" s="14"/>
    </row>
    <row r="232">
      <c r="K232" s="14"/>
      <c r="M232" s="14"/>
      <c r="N232" s="14"/>
    </row>
    <row r="233">
      <c r="K233" s="14"/>
      <c r="M233" s="14"/>
      <c r="N233" s="14"/>
    </row>
    <row r="234">
      <c r="K234" s="14"/>
      <c r="M234" s="14"/>
      <c r="N234" s="14"/>
    </row>
    <row r="235">
      <c r="K235" s="14"/>
      <c r="M235" s="14"/>
      <c r="N235" s="14"/>
    </row>
    <row r="236">
      <c r="K236" s="14"/>
      <c r="M236" s="14"/>
      <c r="N236" s="14"/>
    </row>
    <row r="237">
      <c r="K237" s="14"/>
      <c r="M237" s="14"/>
      <c r="N237" s="14"/>
    </row>
    <row r="238">
      <c r="K238" s="14"/>
      <c r="M238" s="14"/>
      <c r="N238" s="14"/>
    </row>
    <row r="239">
      <c r="K239" s="14"/>
      <c r="M239" s="14"/>
      <c r="N239" s="14"/>
    </row>
    <row r="240">
      <c r="K240" s="14"/>
      <c r="M240" s="14"/>
      <c r="N240" s="14"/>
    </row>
    <row r="241">
      <c r="K241" s="14"/>
      <c r="M241" s="14"/>
      <c r="N241" s="14"/>
    </row>
    <row r="242">
      <c r="K242" s="14"/>
      <c r="M242" s="14"/>
      <c r="N242" s="14"/>
    </row>
    <row r="243">
      <c r="K243" s="14"/>
      <c r="M243" s="14"/>
      <c r="N243" s="14"/>
    </row>
    <row r="244">
      <c r="K244" s="14"/>
      <c r="M244" s="14"/>
      <c r="N244" s="14"/>
    </row>
    <row r="245">
      <c r="K245" s="14"/>
      <c r="M245" s="14"/>
      <c r="N245" s="14"/>
    </row>
    <row r="246">
      <c r="K246" s="14"/>
      <c r="M246" s="14"/>
      <c r="N246" s="14"/>
    </row>
    <row r="247">
      <c r="K247" s="14"/>
      <c r="M247" s="14"/>
      <c r="N247" s="14"/>
    </row>
    <row r="248">
      <c r="K248" s="14"/>
      <c r="M248" s="14"/>
      <c r="N248" s="14"/>
    </row>
    <row r="249">
      <c r="K249" s="14"/>
      <c r="M249" s="14"/>
      <c r="N249" s="14"/>
    </row>
    <row r="250">
      <c r="K250" s="14"/>
      <c r="M250" s="14"/>
      <c r="N250" s="14"/>
    </row>
    <row r="251">
      <c r="K251" s="14"/>
      <c r="M251" s="14"/>
      <c r="N251" s="14"/>
    </row>
    <row r="252">
      <c r="K252" s="14"/>
      <c r="M252" s="14"/>
      <c r="N252" s="14"/>
    </row>
    <row r="253">
      <c r="K253" s="14"/>
      <c r="M253" s="14"/>
      <c r="N253" s="14"/>
    </row>
    <row r="254">
      <c r="K254" s="14"/>
      <c r="M254" s="14"/>
      <c r="N254" s="14"/>
    </row>
    <row r="255">
      <c r="K255" s="14"/>
      <c r="M255" s="14"/>
      <c r="N255" s="14"/>
    </row>
    <row r="256">
      <c r="K256" s="14"/>
      <c r="M256" s="14"/>
      <c r="N256" s="14"/>
    </row>
    <row r="257">
      <c r="K257" s="14"/>
      <c r="M257" s="14"/>
      <c r="N257" s="14"/>
    </row>
    <row r="258">
      <c r="K258" s="14"/>
      <c r="M258" s="14"/>
      <c r="N258" s="14"/>
    </row>
    <row r="259">
      <c r="K259" s="14"/>
      <c r="M259" s="14"/>
      <c r="N259" s="14"/>
    </row>
    <row r="260">
      <c r="K260" s="14"/>
      <c r="M260" s="14"/>
      <c r="N260" s="14"/>
    </row>
    <row r="261">
      <c r="K261" s="14"/>
      <c r="M261" s="14"/>
      <c r="N261" s="14"/>
    </row>
    <row r="262">
      <c r="K262" s="14"/>
      <c r="M262" s="14"/>
      <c r="N262" s="14"/>
    </row>
    <row r="263">
      <c r="K263" s="14"/>
      <c r="M263" s="14"/>
      <c r="N263" s="14"/>
    </row>
    <row r="264">
      <c r="K264" s="14"/>
      <c r="M264" s="14"/>
      <c r="N264" s="14"/>
    </row>
    <row r="265">
      <c r="K265" s="14"/>
      <c r="M265" s="14"/>
      <c r="N265" s="14"/>
    </row>
    <row r="266">
      <c r="K266" s="14"/>
      <c r="M266" s="14"/>
      <c r="N266" s="14"/>
    </row>
    <row r="267">
      <c r="K267" s="14"/>
      <c r="M267" s="14"/>
      <c r="N267" s="14"/>
    </row>
    <row r="268">
      <c r="K268" s="14"/>
      <c r="M268" s="14"/>
      <c r="N268" s="14"/>
    </row>
    <row r="269">
      <c r="K269" s="14"/>
      <c r="M269" s="14"/>
      <c r="N269" s="14"/>
    </row>
    <row r="270">
      <c r="K270" s="14"/>
      <c r="M270" s="14"/>
      <c r="N270" s="14"/>
    </row>
    <row r="271">
      <c r="K271" s="14"/>
      <c r="M271" s="14"/>
      <c r="N271" s="14"/>
    </row>
    <row r="272">
      <c r="K272" s="14"/>
      <c r="M272" s="14"/>
      <c r="N272" s="14"/>
    </row>
    <row r="273">
      <c r="K273" s="14"/>
      <c r="M273" s="14"/>
      <c r="N273" s="14"/>
    </row>
    <row r="274">
      <c r="K274" s="14"/>
      <c r="M274" s="14"/>
      <c r="N274" s="14"/>
    </row>
    <row r="275">
      <c r="K275" s="14"/>
      <c r="M275" s="14"/>
      <c r="N275" s="14"/>
    </row>
    <row r="276">
      <c r="K276" s="14"/>
      <c r="M276" s="14"/>
      <c r="N276" s="14"/>
    </row>
    <row r="277">
      <c r="K277" s="14"/>
      <c r="M277" s="14"/>
      <c r="N277" s="14"/>
    </row>
    <row r="278">
      <c r="K278" s="14"/>
      <c r="M278" s="14"/>
      <c r="N278" s="14"/>
    </row>
    <row r="279">
      <c r="K279" s="14"/>
      <c r="M279" s="14"/>
      <c r="N279" s="14"/>
    </row>
    <row r="280">
      <c r="K280" s="14"/>
      <c r="M280" s="14"/>
      <c r="N280" s="14"/>
    </row>
    <row r="281">
      <c r="K281" s="14"/>
      <c r="M281" s="14"/>
      <c r="N281" s="14"/>
    </row>
    <row r="282">
      <c r="K282" s="14"/>
      <c r="M282" s="14"/>
      <c r="N282" s="14"/>
    </row>
    <row r="283">
      <c r="K283" s="14"/>
      <c r="M283" s="14"/>
      <c r="N283" s="14"/>
    </row>
    <row r="284">
      <c r="K284" s="14"/>
      <c r="M284" s="14"/>
      <c r="N284" s="14"/>
    </row>
    <row r="285">
      <c r="K285" s="14"/>
      <c r="M285" s="14"/>
      <c r="N285" s="14"/>
    </row>
    <row r="286">
      <c r="K286" s="14"/>
      <c r="M286" s="14"/>
      <c r="N286" s="14"/>
    </row>
    <row r="287">
      <c r="K287" s="14"/>
      <c r="M287" s="14"/>
      <c r="N287" s="14"/>
    </row>
    <row r="288">
      <c r="K288" s="14"/>
      <c r="M288" s="14"/>
      <c r="N288" s="14"/>
    </row>
    <row r="289">
      <c r="K289" s="14"/>
      <c r="M289" s="14"/>
      <c r="N289" s="14"/>
    </row>
    <row r="290">
      <c r="K290" s="14"/>
      <c r="M290" s="14"/>
      <c r="N290" s="14"/>
    </row>
    <row r="291">
      <c r="K291" s="14"/>
      <c r="M291" s="14"/>
      <c r="N291" s="14"/>
    </row>
    <row r="292">
      <c r="K292" s="14"/>
      <c r="M292" s="14"/>
      <c r="N292" s="14"/>
    </row>
    <row r="293">
      <c r="K293" s="14"/>
      <c r="M293" s="14"/>
      <c r="N293" s="14"/>
    </row>
    <row r="294">
      <c r="K294" s="14"/>
      <c r="M294" s="14"/>
      <c r="N294" s="14"/>
    </row>
    <row r="295">
      <c r="K295" s="14"/>
      <c r="M295" s="14"/>
      <c r="N295" s="14"/>
    </row>
    <row r="296">
      <c r="K296" s="14"/>
      <c r="M296" s="14"/>
      <c r="N296" s="14"/>
    </row>
    <row r="297">
      <c r="K297" s="14"/>
      <c r="M297" s="14"/>
      <c r="N297" s="14"/>
    </row>
    <row r="298">
      <c r="K298" s="14"/>
      <c r="M298" s="14"/>
      <c r="N298" s="14"/>
    </row>
    <row r="299">
      <c r="K299" s="14"/>
      <c r="M299" s="14"/>
      <c r="N299" s="14"/>
    </row>
    <row r="300">
      <c r="K300" s="14"/>
      <c r="M300" s="14"/>
      <c r="N300" s="14"/>
    </row>
    <row r="301">
      <c r="K301" s="14"/>
      <c r="M301" s="14"/>
      <c r="N301" s="14"/>
    </row>
    <row r="302">
      <c r="K302" s="14"/>
      <c r="M302" s="14"/>
      <c r="N302" s="14"/>
    </row>
    <row r="303">
      <c r="K303" s="14"/>
      <c r="M303" s="14"/>
      <c r="N303" s="14"/>
    </row>
    <row r="304">
      <c r="K304" s="14"/>
      <c r="M304" s="14"/>
      <c r="N304" s="14"/>
    </row>
    <row r="305">
      <c r="K305" s="14"/>
      <c r="M305" s="14"/>
      <c r="N305" s="14"/>
    </row>
    <row r="306">
      <c r="K306" s="14"/>
      <c r="M306" s="14"/>
      <c r="N306" s="14"/>
    </row>
    <row r="307">
      <c r="K307" s="14"/>
      <c r="M307" s="14"/>
      <c r="N307" s="14"/>
    </row>
    <row r="308">
      <c r="K308" s="14"/>
      <c r="M308" s="14"/>
      <c r="N308" s="14"/>
    </row>
    <row r="309">
      <c r="K309" s="14"/>
      <c r="M309" s="14"/>
      <c r="N309" s="14"/>
    </row>
    <row r="310">
      <c r="K310" s="14"/>
      <c r="M310" s="14"/>
      <c r="N310" s="14"/>
    </row>
    <row r="311">
      <c r="K311" s="14"/>
      <c r="M311" s="14"/>
      <c r="N311" s="14"/>
    </row>
    <row r="312">
      <c r="K312" s="14"/>
      <c r="M312" s="14"/>
      <c r="N312" s="14"/>
    </row>
    <row r="313">
      <c r="K313" s="14"/>
      <c r="M313" s="14"/>
      <c r="N313" s="14"/>
    </row>
    <row r="314">
      <c r="K314" s="14"/>
      <c r="M314" s="14"/>
      <c r="N314" s="14"/>
    </row>
    <row r="315">
      <c r="K315" s="14"/>
      <c r="M315" s="14"/>
      <c r="N315" s="14"/>
    </row>
    <row r="316">
      <c r="K316" s="14"/>
      <c r="M316" s="14"/>
      <c r="N316" s="14"/>
    </row>
    <row r="317">
      <c r="K317" s="14"/>
      <c r="M317" s="14"/>
      <c r="N317" s="14"/>
    </row>
    <row r="318">
      <c r="K318" s="14"/>
      <c r="M318" s="14"/>
      <c r="N318" s="14"/>
    </row>
    <row r="319">
      <c r="K319" s="14"/>
      <c r="M319" s="14"/>
      <c r="N319" s="14"/>
    </row>
    <row r="320">
      <c r="K320" s="14"/>
      <c r="M320" s="14"/>
      <c r="N320" s="14"/>
    </row>
    <row r="321">
      <c r="K321" s="14"/>
      <c r="M321" s="14"/>
      <c r="N321" s="14"/>
    </row>
    <row r="322">
      <c r="K322" s="14"/>
      <c r="M322" s="14"/>
      <c r="N322" s="14"/>
    </row>
    <row r="323">
      <c r="K323" s="14"/>
      <c r="M323" s="14"/>
      <c r="N323" s="14"/>
    </row>
    <row r="324">
      <c r="K324" s="14"/>
      <c r="M324" s="14"/>
      <c r="N324" s="14"/>
    </row>
    <row r="325">
      <c r="K325" s="14"/>
      <c r="M325" s="14"/>
      <c r="N325" s="14"/>
    </row>
    <row r="326">
      <c r="K326" s="14"/>
      <c r="M326" s="14"/>
      <c r="N326" s="14"/>
    </row>
    <row r="327">
      <c r="K327" s="14"/>
      <c r="M327" s="14"/>
      <c r="N327" s="14"/>
    </row>
    <row r="328">
      <c r="K328" s="14"/>
      <c r="M328" s="14"/>
      <c r="N328" s="14"/>
    </row>
    <row r="329">
      <c r="K329" s="14"/>
      <c r="M329" s="14"/>
      <c r="N329" s="14"/>
    </row>
    <row r="330">
      <c r="K330" s="14"/>
      <c r="M330" s="14"/>
      <c r="N330" s="14"/>
    </row>
    <row r="331">
      <c r="K331" s="14"/>
      <c r="M331" s="14"/>
      <c r="N331" s="14"/>
    </row>
    <row r="332">
      <c r="K332" s="14"/>
      <c r="M332" s="14"/>
      <c r="N332" s="14"/>
    </row>
    <row r="333">
      <c r="K333" s="14"/>
      <c r="M333" s="14"/>
      <c r="N333" s="14"/>
    </row>
    <row r="334">
      <c r="K334" s="14"/>
      <c r="M334" s="14"/>
      <c r="N334" s="14"/>
    </row>
    <row r="335">
      <c r="K335" s="14"/>
      <c r="M335" s="14"/>
      <c r="N335" s="14"/>
    </row>
    <row r="336">
      <c r="K336" s="14"/>
      <c r="M336" s="14"/>
      <c r="N336" s="14"/>
    </row>
    <row r="337">
      <c r="K337" s="14"/>
      <c r="M337" s="14"/>
      <c r="N337" s="14"/>
    </row>
    <row r="338">
      <c r="K338" s="14"/>
      <c r="M338" s="14"/>
      <c r="N338" s="14"/>
    </row>
    <row r="339">
      <c r="K339" s="14"/>
      <c r="M339" s="14"/>
      <c r="N339" s="14"/>
    </row>
    <row r="340">
      <c r="K340" s="14"/>
      <c r="M340" s="14"/>
      <c r="N340" s="14"/>
    </row>
    <row r="341">
      <c r="K341" s="14"/>
      <c r="M341" s="14"/>
      <c r="N341" s="14"/>
    </row>
    <row r="342">
      <c r="K342" s="14"/>
      <c r="M342" s="14"/>
      <c r="N342" s="14"/>
    </row>
    <row r="343">
      <c r="K343" s="14"/>
      <c r="M343" s="14"/>
      <c r="N343" s="14"/>
    </row>
    <row r="344">
      <c r="K344" s="14"/>
      <c r="M344" s="14"/>
      <c r="N344" s="14"/>
    </row>
    <row r="345">
      <c r="K345" s="14"/>
      <c r="M345" s="14"/>
      <c r="N345" s="14"/>
    </row>
    <row r="346">
      <c r="K346" s="14"/>
      <c r="M346" s="14"/>
      <c r="N346" s="14"/>
    </row>
    <row r="347">
      <c r="K347" s="14"/>
      <c r="M347" s="14"/>
      <c r="N347" s="14"/>
    </row>
    <row r="348">
      <c r="K348" s="14"/>
      <c r="M348" s="14"/>
      <c r="N348" s="14"/>
    </row>
    <row r="349">
      <c r="K349" s="14"/>
      <c r="M349" s="14"/>
      <c r="N349" s="14"/>
    </row>
    <row r="350">
      <c r="K350" s="14"/>
      <c r="M350" s="14"/>
      <c r="N350" s="14"/>
    </row>
    <row r="351">
      <c r="K351" s="14"/>
      <c r="M351" s="14"/>
      <c r="N351" s="14"/>
    </row>
    <row r="352">
      <c r="K352" s="14"/>
      <c r="M352" s="14"/>
      <c r="N352" s="14"/>
    </row>
    <row r="353">
      <c r="K353" s="14"/>
      <c r="M353" s="14"/>
      <c r="N353" s="14"/>
    </row>
    <row r="354">
      <c r="K354" s="14"/>
      <c r="M354" s="14"/>
      <c r="N354" s="14"/>
    </row>
    <row r="355">
      <c r="K355" s="14"/>
      <c r="M355" s="14"/>
      <c r="N355" s="14"/>
    </row>
    <row r="356">
      <c r="K356" s="14"/>
      <c r="M356" s="14"/>
      <c r="N356" s="14"/>
    </row>
    <row r="357">
      <c r="K357" s="14"/>
      <c r="M357" s="14"/>
      <c r="N357" s="14"/>
    </row>
    <row r="358">
      <c r="K358" s="14"/>
      <c r="M358" s="14"/>
      <c r="N358" s="14"/>
    </row>
    <row r="359">
      <c r="K359" s="14"/>
      <c r="M359" s="14"/>
      <c r="N359" s="14"/>
    </row>
    <row r="360">
      <c r="K360" s="14"/>
      <c r="M360" s="14"/>
      <c r="N360" s="14"/>
    </row>
    <row r="361">
      <c r="K361" s="14"/>
      <c r="M361" s="14"/>
      <c r="N361" s="14"/>
    </row>
    <row r="362">
      <c r="K362" s="14"/>
      <c r="M362" s="14"/>
      <c r="N362" s="14"/>
    </row>
    <row r="363">
      <c r="K363" s="14"/>
      <c r="M363" s="14"/>
      <c r="N363" s="14"/>
    </row>
    <row r="364">
      <c r="K364" s="14"/>
      <c r="M364" s="14"/>
      <c r="N364" s="14"/>
    </row>
    <row r="365">
      <c r="K365" s="14"/>
      <c r="M365" s="14"/>
      <c r="N365" s="14"/>
    </row>
    <row r="366">
      <c r="K366" s="14"/>
      <c r="M366" s="14"/>
      <c r="N366" s="14"/>
    </row>
    <row r="367">
      <c r="K367" s="14"/>
      <c r="M367" s="14"/>
      <c r="N367" s="14"/>
    </row>
    <row r="368">
      <c r="K368" s="14"/>
      <c r="M368" s="14"/>
      <c r="N368" s="14"/>
    </row>
    <row r="369">
      <c r="K369" s="14"/>
      <c r="M369" s="14"/>
      <c r="N369" s="14"/>
    </row>
    <row r="370">
      <c r="K370" s="14"/>
      <c r="M370" s="14"/>
      <c r="N370" s="14"/>
    </row>
    <row r="371">
      <c r="K371" s="14"/>
      <c r="M371" s="14"/>
      <c r="N371" s="14"/>
    </row>
    <row r="372">
      <c r="K372" s="14"/>
      <c r="M372" s="14"/>
      <c r="N372" s="14"/>
    </row>
    <row r="373">
      <c r="K373" s="14"/>
      <c r="M373" s="14"/>
      <c r="N373" s="14"/>
    </row>
    <row r="374">
      <c r="K374" s="14"/>
      <c r="M374" s="14"/>
      <c r="N374" s="14"/>
    </row>
    <row r="375">
      <c r="K375" s="14"/>
      <c r="M375" s="14"/>
      <c r="N375" s="14"/>
    </row>
    <row r="376">
      <c r="K376" s="14"/>
      <c r="M376" s="14"/>
      <c r="N376" s="14"/>
    </row>
    <row r="377">
      <c r="K377" s="14"/>
      <c r="M377" s="14"/>
      <c r="N377" s="14"/>
    </row>
    <row r="378">
      <c r="K378" s="14"/>
      <c r="M378" s="14"/>
      <c r="N378" s="14"/>
    </row>
    <row r="379">
      <c r="K379" s="14"/>
      <c r="M379" s="14"/>
      <c r="N379" s="14"/>
    </row>
    <row r="380">
      <c r="K380" s="14"/>
      <c r="M380" s="14"/>
      <c r="N380" s="14"/>
    </row>
    <row r="381">
      <c r="K381" s="14"/>
      <c r="M381" s="14"/>
      <c r="N381" s="14"/>
    </row>
    <row r="382">
      <c r="K382" s="14"/>
      <c r="M382" s="14"/>
      <c r="N382" s="14"/>
    </row>
    <row r="383">
      <c r="K383" s="14"/>
      <c r="M383" s="14"/>
      <c r="N383" s="14"/>
    </row>
    <row r="384">
      <c r="K384" s="14"/>
      <c r="M384" s="14"/>
      <c r="N384" s="14"/>
    </row>
    <row r="385">
      <c r="K385" s="14"/>
      <c r="M385" s="14"/>
      <c r="N385" s="14"/>
    </row>
    <row r="386">
      <c r="K386" s="14"/>
      <c r="M386" s="14"/>
      <c r="N386" s="14"/>
    </row>
    <row r="387">
      <c r="K387" s="14"/>
      <c r="M387" s="14"/>
      <c r="N387" s="14"/>
    </row>
    <row r="388">
      <c r="K388" s="14"/>
      <c r="M388" s="14"/>
      <c r="N388" s="14"/>
    </row>
    <row r="389">
      <c r="K389" s="14"/>
      <c r="M389" s="14"/>
      <c r="N389" s="14"/>
    </row>
    <row r="390">
      <c r="K390" s="14"/>
      <c r="M390" s="14"/>
      <c r="N390" s="14"/>
    </row>
    <row r="391">
      <c r="K391" s="14"/>
      <c r="M391" s="14"/>
      <c r="N391" s="14"/>
    </row>
    <row r="392">
      <c r="K392" s="14"/>
      <c r="M392" s="14"/>
      <c r="N392" s="14"/>
    </row>
    <row r="393">
      <c r="K393" s="14"/>
      <c r="M393" s="14"/>
      <c r="N393" s="14"/>
    </row>
    <row r="394">
      <c r="K394" s="14"/>
      <c r="M394" s="14"/>
      <c r="N394" s="14"/>
    </row>
    <row r="395">
      <c r="K395" s="14"/>
      <c r="M395" s="14"/>
      <c r="N395" s="14"/>
    </row>
    <row r="396">
      <c r="K396" s="14"/>
      <c r="M396" s="14"/>
      <c r="N396" s="14"/>
    </row>
    <row r="397">
      <c r="K397" s="14"/>
      <c r="M397" s="14"/>
      <c r="N397" s="14"/>
    </row>
    <row r="398">
      <c r="K398" s="14"/>
      <c r="M398" s="14"/>
      <c r="N398" s="14"/>
    </row>
    <row r="399">
      <c r="K399" s="14"/>
      <c r="M399" s="14"/>
      <c r="N399" s="14"/>
    </row>
    <row r="400">
      <c r="K400" s="14"/>
      <c r="M400" s="14"/>
      <c r="N400" s="14"/>
    </row>
    <row r="401">
      <c r="K401" s="14"/>
      <c r="M401" s="14"/>
      <c r="N401" s="14"/>
    </row>
    <row r="402">
      <c r="K402" s="14"/>
      <c r="M402" s="14"/>
      <c r="N402" s="14"/>
    </row>
    <row r="403">
      <c r="K403" s="14"/>
      <c r="M403" s="14"/>
      <c r="N403" s="14"/>
    </row>
    <row r="404">
      <c r="K404" s="14"/>
      <c r="M404" s="14"/>
      <c r="N404" s="14"/>
    </row>
    <row r="405">
      <c r="K405" s="14"/>
      <c r="M405" s="14"/>
      <c r="N405" s="14"/>
    </row>
    <row r="406">
      <c r="K406" s="14"/>
      <c r="M406" s="14"/>
      <c r="N406" s="14"/>
    </row>
    <row r="407">
      <c r="K407" s="14"/>
      <c r="M407" s="14"/>
      <c r="N407" s="14"/>
    </row>
    <row r="408">
      <c r="K408" s="14"/>
      <c r="M408" s="14"/>
      <c r="N408" s="14"/>
    </row>
    <row r="409">
      <c r="K409" s="14"/>
      <c r="M409" s="14"/>
      <c r="N409" s="14"/>
    </row>
    <row r="410">
      <c r="K410" s="14"/>
      <c r="M410" s="14"/>
      <c r="N410" s="14"/>
    </row>
    <row r="411">
      <c r="K411" s="14"/>
      <c r="M411" s="14"/>
      <c r="N411" s="14"/>
    </row>
    <row r="412">
      <c r="K412" s="14"/>
      <c r="M412" s="14"/>
      <c r="N412" s="14"/>
    </row>
    <row r="413">
      <c r="K413" s="14"/>
      <c r="M413" s="14"/>
      <c r="N413" s="14"/>
    </row>
    <row r="414">
      <c r="K414" s="14"/>
      <c r="M414" s="14"/>
      <c r="N414" s="14"/>
    </row>
    <row r="415">
      <c r="K415" s="14"/>
      <c r="M415" s="14"/>
      <c r="N415" s="14"/>
    </row>
    <row r="416">
      <c r="K416" s="14"/>
      <c r="M416" s="14"/>
      <c r="N416" s="14"/>
    </row>
    <row r="417">
      <c r="K417" s="14"/>
      <c r="M417" s="14"/>
      <c r="N417" s="14"/>
    </row>
    <row r="418">
      <c r="K418" s="14"/>
      <c r="M418" s="14"/>
      <c r="N418" s="14"/>
    </row>
    <row r="419">
      <c r="K419" s="14"/>
      <c r="M419" s="14"/>
      <c r="N419" s="14"/>
    </row>
    <row r="420">
      <c r="K420" s="14"/>
      <c r="M420" s="14"/>
      <c r="N420" s="14"/>
    </row>
    <row r="421">
      <c r="K421" s="14"/>
      <c r="M421" s="14"/>
      <c r="N421" s="14"/>
    </row>
    <row r="422">
      <c r="K422" s="14"/>
      <c r="M422" s="14"/>
      <c r="N422" s="14"/>
    </row>
    <row r="423">
      <c r="K423" s="14"/>
      <c r="M423" s="14"/>
      <c r="N423" s="14"/>
    </row>
    <row r="424">
      <c r="K424" s="14"/>
      <c r="M424" s="14"/>
      <c r="N424" s="14"/>
    </row>
    <row r="425">
      <c r="K425" s="14"/>
      <c r="M425" s="14"/>
      <c r="N425" s="14"/>
    </row>
    <row r="426">
      <c r="K426" s="14"/>
      <c r="M426" s="14"/>
      <c r="N426" s="14"/>
    </row>
    <row r="427">
      <c r="K427" s="14"/>
      <c r="M427" s="14"/>
      <c r="N427" s="14"/>
    </row>
    <row r="428">
      <c r="K428" s="14"/>
      <c r="M428" s="14"/>
      <c r="N428" s="14"/>
    </row>
    <row r="429">
      <c r="K429" s="14"/>
      <c r="M429" s="14"/>
      <c r="N429" s="14"/>
    </row>
    <row r="430">
      <c r="K430" s="14"/>
      <c r="M430" s="14"/>
      <c r="N430" s="14"/>
    </row>
    <row r="431">
      <c r="K431" s="14"/>
      <c r="M431" s="14"/>
      <c r="N431" s="14"/>
    </row>
    <row r="432">
      <c r="K432" s="14"/>
      <c r="M432" s="14"/>
      <c r="N432" s="14"/>
    </row>
    <row r="433">
      <c r="K433" s="14"/>
      <c r="M433" s="14"/>
      <c r="N433" s="14"/>
    </row>
    <row r="434">
      <c r="K434" s="14"/>
      <c r="M434" s="14"/>
      <c r="N434" s="14"/>
    </row>
    <row r="435">
      <c r="K435" s="14"/>
      <c r="M435" s="14"/>
      <c r="N435" s="14"/>
    </row>
    <row r="436">
      <c r="K436" s="14"/>
      <c r="M436" s="14"/>
      <c r="N436" s="14"/>
    </row>
    <row r="437">
      <c r="K437" s="14"/>
      <c r="M437" s="14"/>
      <c r="N437" s="14"/>
    </row>
    <row r="438">
      <c r="K438" s="14"/>
      <c r="M438" s="14"/>
      <c r="N438" s="14"/>
    </row>
    <row r="439">
      <c r="K439" s="14"/>
      <c r="M439" s="14"/>
      <c r="N439" s="14"/>
    </row>
    <row r="440">
      <c r="K440" s="14"/>
      <c r="M440" s="14"/>
      <c r="N440" s="14"/>
    </row>
    <row r="441">
      <c r="K441" s="14"/>
      <c r="M441" s="14"/>
      <c r="N441" s="14"/>
    </row>
    <row r="442">
      <c r="K442" s="14"/>
      <c r="M442" s="14"/>
      <c r="N442" s="14"/>
    </row>
    <row r="443">
      <c r="K443" s="14"/>
      <c r="M443" s="14"/>
      <c r="N443" s="14"/>
    </row>
    <row r="444">
      <c r="K444" s="14"/>
      <c r="M444" s="14"/>
      <c r="N444" s="14"/>
    </row>
    <row r="445">
      <c r="K445" s="14"/>
      <c r="M445" s="14"/>
      <c r="N445" s="14"/>
    </row>
    <row r="446">
      <c r="K446" s="14"/>
      <c r="M446" s="14"/>
      <c r="N446" s="14"/>
    </row>
    <row r="447">
      <c r="K447" s="14"/>
      <c r="M447" s="14"/>
      <c r="N447" s="14"/>
    </row>
    <row r="448">
      <c r="K448" s="14"/>
      <c r="M448" s="14"/>
      <c r="N448" s="14"/>
    </row>
    <row r="449">
      <c r="K449" s="14"/>
      <c r="M449" s="14"/>
      <c r="N449" s="14"/>
    </row>
    <row r="450">
      <c r="K450" s="14"/>
      <c r="M450" s="14"/>
      <c r="N450" s="14"/>
    </row>
    <row r="451">
      <c r="K451" s="14"/>
      <c r="M451" s="14"/>
      <c r="N451" s="14"/>
    </row>
    <row r="452">
      <c r="K452" s="14"/>
      <c r="M452" s="14"/>
      <c r="N452" s="14"/>
    </row>
    <row r="453">
      <c r="K453" s="14"/>
      <c r="M453" s="14"/>
      <c r="N453" s="14"/>
    </row>
    <row r="454">
      <c r="K454" s="14"/>
      <c r="M454" s="14"/>
      <c r="N454" s="14"/>
    </row>
    <row r="455">
      <c r="K455" s="14"/>
      <c r="M455" s="14"/>
      <c r="N455" s="14"/>
    </row>
    <row r="456">
      <c r="K456" s="14"/>
      <c r="M456" s="14"/>
      <c r="N456" s="14"/>
    </row>
    <row r="457">
      <c r="K457" s="14"/>
      <c r="M457" s="14"/>
      <c r="N457" s="14"/>
    </row>
    <row r="458">
      <c r="K458" s="14"/>
      <c r="M458" s="14"/>
      <c r="N458" s="14"/>
    </row>
    <row r="459">
      <c r="K459" s="14"/>
      <c r="M459" s="14"/>
      <c r="N459" s="14"/>
    </row>
    <row r="460">
      <c r="K460" s="14"/>
      <c r="M460" s="14"/>
      <c r="N460" s="14"/>
    </row>
    <row r="461">
      <c r="K461" s="14"/>
      <c r="M461" s="14"/>
      <c r="N461" s="14"/>
    </row>
    <row r="462">
      <c r="K462" s="14"/>
      <c r="M462" s="14"/>
      <c r="N462" s="14"/>
    </row>
    <row r="463">
      <c r="K463" s="14"/>
      <c r="M463" s="14"/>
      <c r="N463" s="14"/>
    </row>
    <row r="464">
      <c r="K464" s="14"/>
      <c r="M464" s="14"/>
      <c r="N464" s="14"/>
    </row>
    <row r="465">
      <c r="K465" s="14"/>
      <c r="M465" s="14"/>
      <c r="N465" s="14"/>
    </row>
    <row r="466">
      <c r="K466" s="14"/>
      <c r="M466" s="14"/>
      <c r="N466" s="14"/>
    </row>
    <row r="467">
      <c r="K467" s="14"/>
      <c r="M467" s="14"/>
      <c r="N467" s="14"/>
    </row>
    <row r="468">
      <c r="K468" s="14"/>
      <c r="M468" s="14"/>
      <c r="N468" s="14"/>
    </row>
    <row r="469">
      <c r="K469" s="14"/>
      <c r="M469" s="14"/>
      <c r="N469" s="14"/>
    </row>
    <row r="470">
      <c r="K470" s="14"/>
      <c r="M470" s="14"/>
      <c r="N470" s="14"/>
    </row>
    <row r="471">
      <c r="K471" s="14"/>
      <c r="M471" s="14"/>
      <c r="N471" s="14"/>
    </row>
    <row r="472">
      <c r="K472" s="14"/>
      <c r="M472" s="14"/>
      <c r="N472" s="14"/>
    </row>
    <row r="473">
      <c r="K473" s="14"/>
      <c r="M473" s="14"/>
      <c r="N473" s="14"/>
    </row>
    <row r="474">
      <c r="K474" s="14"/>
      <c r="M474" s="14"/>
      <c r="N474" s="14"/>
    </row>
    <row r="475">
      <c r="K475" s="14"/>
      <c r="M475" s="14"/>
      <c r="N475" s="14"/>
    </row>
    <row r="476">
      <c r="K476" s="14"/>
      <c r="M476" s="14"/>
      <c r="N476" s="14"/>
    </row>
    <row r="477">
      <c r="K477" s="14"/>
      <c r="M477" s="14"/>
      <c r="N477" s="14"/>
    </row>
    <row r="478">
      <c r="K478" s="14"/>
      <c r="M478" s="14"/>
      <c r="N478" s="14"/>
    </row>
    <row r="479">
      <c r="K479" s="14"/>
      <c r="M479" s="14"/>
      <c r="N479" s="14"/>
    </row>
    <row r="480">
      <c r="K480" s="14"/>
      <c r="M480" s="14"/>
      <c r="N480" s="14"/>
    </row>
    <row r="481">
      <c r="K481" s="14"/>
      <c r="M481" s="14"/>
      <c r="N481" s="14"/>
    </row>
    <row r="482">
      <c r="K482" s="14"/>
      <c r="M482" s="14"/>
      <c r="N482" s="14"/>
    </row>
    <row r="483">
      <c r="K483" s="14"/>
      <c r="M483" s="14"/>
      <c r="N483" s="14"/>
    </row>
    <row r="484">
      <c r="K484" s="14"/>
      <c r="M484" s="14"/>
      <c r="N484" s="14"/>
    </row>
    <row r="485">
      <c r="K485" s="14"/>
      <c r="M485" s="14"/>
      <c r="N485" s="14"/>
    </row>
    <row r="486">
      <c r="K486" s="14"/>
      <c r="M486" s="14"/>
      <c r="N486" s="14"/>
    </row>
    <row r="487">
      <c r="K487" s="14"/>
      <c r="M487" s="14"/>
      <c r="N487" s="14"/>
    </row>
    <row r="488">
      <c r="K488" s="14"/>
      <c r="M488" s="14"/>
      <c r="N488" s="14"/>
    </row>
    <row r="489">
      <c r="K489" s="14"/>
      <c r="M489" s="14"/>
      <c r="N489" s="14"/>
    </row>
    <row r="490">
      <c r="K490" s="14"/>
      <c r="M490" s="14"/>
      <c r="N490" s="14"/>
    </row>
    <row r="491">
      <c r="K491" s="14"/>
      <c r="M491" s="14"/>
      <c r="N491" s="14"/>
    </row>
    <row r="492">
      <c r="K492" s="14"/>
      <c r="M492" s="14"/>
      <c r="N492" s="14"/>
    </row>
    <row r="493">
      <c r="K493" s="14"/>
      <c r="M493" s="14"/>
      <c r="N493" s="14"/>
    </row>
    <row r="494">
      <c r="K494" s="14"/>
      <c r="M494" s="14"/>
      <c r="N494" s="14"/>
    </row>
    <row r="495">
      <c r="K495" s="14"/>
      <c r="M495" s="14"/>
      <c r="N495" s="14"/>
    </row>
    <row r="496">
      <c r="K496" s="14"/>
      <c r="M496" s="14"/>
      <c r="N496" s="14"/>
    </row>
    <row r="497">
      <c r="K497" s="14"/>
      <c r="M497" s="14"/>
      <c r="N497" s="14"/>
    </row>
    <row r="498">
      <c r="K498" s="14"/>
      <c r="M498" s="14"/>
      <c r="N498" s="14"/>
    </row>
    <row r="499">
      <c r="K499" s="14"/>
      <c r="M499" s="14"/>
      <c r="N499" s="14"/>
    </row>
    <row r="500">
      <c r="K500" s="14"/>
      <c r="M500" s="14"/>
      <c r="N500" s="14"/>
    </row>
    <row r="501">
      <c r="K501" s="14"/>
      <c r="M501" s="14"/>
      <c r="N501" s="14"/>
    </row>
    <row r="502">
      <c r="K502" s="14"/>
      <c r="M502" s="14"/>
      <c r="N502" s="14"/>
    </row>
    <row r="503">
      <c r="K503" s="14"/>
      <c r="M503" s="14"/>
      <c r="N503" s="14"/>
    </row>
    <row r="504">
      <c r="K504" s="14"/>
      <c r="M504" s="14"/>
      <c r="N504" s="14"/>
    </row>
    <row r="505">
      <c r="K505" s="14"/>
      <c r="M505" s="14"/>
      <c r="N505" s="14"/>
    </row>
    <row r="506">
      <c r="K506" s="14"/>
      <c r="M506" s="14"/>
      <c r="N506" s="14"/>
    </row>
    <row r="507">
      <c r="K507" s="14"/>
      <c r="M507" s="14"/>
      <c r="N507" s="14"/>
    </row>
    <row r="508">
      <c r="K508" s="14"/>
      <c r="M508" s="14"/>
      <c r="N508" s="14"/>
    </row>
    <row r="509">
      <c r="K509" s="14"/>
      <c r="M509" s="14"/>
      <c r="N509" s="14"/>
    </row>
    <row r="510">
      <c r="K510" s="14"/>
      <c r="M510" s="14"/>
      <c r="N510" s="14"/>
    </row>
    <row r="511">
      <c r="K511" s="14"/>
      <c r="M511" s="14"/>
      <c r="N511" s="14"/>
    </row>
    <row r="512">
      <c r="K512" s="14"/>
      <c r="M512" s="14"/>
      <c r="N512" s="14"/>
    </row>
    <row r="513">
      <c r="K513" s="14"/>
      <c r="M513" s="14"/>
      <c r="N513" s="14"/>
    </row>
    <row r="514">
      <c r="K514" s="14"/>
      <c r="M514" s="14"/>
      <c r="N514" s="14"/>
    </row>
    <row r="515">
      <c r="K515" s="14"/>
      <c r="M515" s="14"/>
      <c r="N515" s="14"/>
    </row>
    <row r="516">
      <c r="K516" s="14"/>
      <c r="M516" s="14"/>
      <c r="N516" s="14"/>
    </row>
    <row r="517">
      <c r="K517" s="14"/>
      <c r="M517" s="14"/>
      <c r="N517" s="14"/>
    </row>
    <row r="518">
      <c r="K518" s="14"/>
      <c r="M518" s="14"/>
      <c r="N518" s="14"/>
    </row>
    <row r="519">
      <c r="K519" s="14"/>
      <c r="M519" s="14"/>
      <c r="N519" s="14"/>
    </row>
    <row r="520">
      <c r="K520" s="14"/>
      <c r="M520" s="14"/>
      <c r="N520" s="14"/>
    </row>
    <row r="521">
      <c r="K521" s="14"/>
      <c r="M521" s="14"/>
      <c r="N521" s="14"/>
    </row>
    <row r="522">
      <c r="K522" s="14"/>
      <c r="M522" s="14"/>
      <c r="N522" s="14"/>
    </row>
    <row r="523">
      <c r="K523" s="14"/>
      <c r="M523" s="14"/>
      <c r="N523" s="14"/>
    </row>
    <row r="524">
      <c r="K524" s="14"/>
      <c r="M524" s="14"/>
      <c r="N524" s="14"/>
    </row>
    <row r="525">
      <c r="K525" s="14"/>
      <c r="M525" s="14"/>
      <c r="N525" s="14"/>
    </row>
    <row r="526">
      <c r="K526" s="14"/>
      <c r="M526" s="14"/>
      <c r="N526" s="14"/>
    </row>
    <row r="527">
      <c r="K527" s="14"/>
      <c r="M527" s="14"/>
      <c r="N527" s="14"/>
    </row>
    <row r="528">
      <c r="K528" s="14"/>
      <c r="M528" s="14"/>
      <c r="N528" s="14"/>
    </row>
    <row r="529">
      <c r="K529" s="14"/>
      <c r="M529" s="14"/>
      <c r="N529" s="14"/>
    </row>
    <row r="530">
      <c r="K530" s="14"/>
      <c r="M530" s="14"/>
      <c r="N530" s="14"/>
    </row>
    <row r="531">
      <c r="K531" s="14"/>
      <c r="M531" s="14"/>
      <c r="N531" s="14"/>
    </row>
    <row r="532">
      <c r="K532" s="14"/>
      <c r="M532" s="14"/>
      <c r="N532" s="14"/>
    </row>
    <row r="533">
      <c r="K533" s="14"/>
      <c r="M533" s="14"/>
      <c r="N533" s="14"/>
    </row>
    <row r="534">
      <c r="K534" s="14"/>
      <c r="M534" s="14"/>
      <c r="N534" s="14"/>
    </row>
    <row r="535">
      <c r="K535" s="14"/>
      <c r="M535" s="14"/>
      <c r="N535" s="14"/>
    </row>
    <row r="536">
      <c r="K536" s="14"/>
      <c r="M536" s="14"/>
      <c r="N536" s="14"/>
    </row>
    <row r="537">
      <c r="K537" s="14"/>
      <c r="M537" s="14"/>
      <c r="N537" s="14"/>
    </row>
    <row r="538">
      <c r="K538" s="14"/>
      <c r="M538" s="14"/>
      <c r="N538" s="14"/>
    </row>
    <row r="539">
      <c r="K539" s="14"/>
      <c r="M539" s="14"/>
      <c r="N539" s="14"/>
    </row>
    <row r="540">
      <c r="K540" s="14"/>
      <c r="M540" s="14"/>
      <c r="N540" s="14"/>
    </row>
    <row r="541">
      <c r="K541" s="14"/>
      <c r="M541" s="14"/>
      <c r="N541" s="14"/>
    </row>
    <row r="542">
      <c r="K542" s="14"/>
      <c r="M542" s="14"/>
      <c r="N542" s="14"/>
    </row>
    <row r="543">
      <c r="K543" s="14"/>
      <c r="M543" s="14"/>
      <c r="N543" s="14"/>
    </row>
    <row r="544">
      <c r="K544" s="14"/>
      <c r="M544" s="14"/>
      <c r="N544" s="14"/>
    </row>
    <row r="545">
      <c r="K545" s="14"/>
      <c r="M545" s="14"/>
      <c r="N545" s="14"/>
    </row>
    <row r="546">
      <c r="K546" s="14"/>
      <c r="M546" s="14"/>
      <c r="N546" s="14"/>
    </row>
    <row r="547">
      <c r="K547" s="14"/>
      <c r="M547" s="14"/>
      <c r="N547" s="14"/>
    </row>
    <row r="548">
      <c r="K548" s="14"/>
      <c r="M548" s="14"/>
      <c r="N548" s="14"/>
    </row>
    <row r="549">
      <c r="K549" s="14"/>
      <c r="M549" s="14"/>
      <c r="N549" s="14"/>
    </row>
    <row r="550">
      <c r="K550" s="14"/>
      <c r="M550" s="14"/>
      <c r="N550" s="14"/>
    </row>
    <row r="551">
      <c r="K551" s="14"/>
      <c r="M551" s="14"/>
      <c r="N551" s="14"/>
    </row>
    <row r="552">
      <c r="K552" s="14"/>
      <c r="M552" s="14"/>
      <c r="N552" s="14"/>
    </row>
    <row r="553">
      <c r="K553" s="14"/>
      <c r="M553" s="14"/>
      <c r="N553" s="14"/>
    </row>
    <row r="554">
      <c r="K554" s="14"/>
      <c r="M554" s="14"/>
      <c r="N554" s="14"/>
    </row>
    <row r="555">
      <c r="K555" s="14"/>
      <c r="M555" s="14"/>
      <c r="N555" s="14"/>
    </row>
    <row r="556">
      <c r="K556" s="14"/>
      <c r="M556" s="14"/>
      <c r="N556" s="14"/>
    </row>
    <row r="557">
      <c r="K557" s="14"/>
      <c r="M557" s="14"/>
      <c r="N557" s="14"/>
    </row>
    <row r="558">
      <c r="K558" s="14"/>
      <c r="M558" s="14"/>
      <c r="N558" s="14"/>
    </row>
    <row r="559">
      <c r="K559" s="14"/>
      <c r="M559" s="14"/>
      <c r="N559" s="14"/>
    </row>
    <row r="560">
      <c r="K560" s="14"/>
      <c r="M560" s="14"/>
      <c r="N560" s="14"/>
    </row>
    <row r="561">
      <c r="K561" s="14"/>
      <c r="M561" s="14"/>
      <c r="N561" s="14"/>
    </row>
    <row r="562">
      <c r="K562" s="14"/>
      <c r="M562" s="14"/>
      <c r="N562" s="14"/>
    </row>
    <row r="563">
      <c r="K563" s="14"/>
      <c r="M563" s="14"/>
      <c r="N563" s="14"/>
    </row>
    <row r="564">
      <c r="K564" s="14"/>
      <c r="M564" s="14"/>
      <c r="N564" s="14"/>
    </row>
    <row r="565">
      <c r="K565" s="14"/>
      <c r="M565" s="14"/>
      <c r="N565" s="14"/>
    </row>
    <row r="566">
      <c r="K566" s="14"/>
      <c r="M566" s="14"/>
      <c r="N566" s="14"/>
    </row>
    <row r="567">
      <c r="K567" s="14"/>
      <c r="M567" s="14"/>
      <c r="N567" s="14"/>
    </row>
    <row r="568">
      <c r="K568" s="14"/>
      <c r="M568" s="14"/>
      <c r="N568" s="14"/>
    </row>
    <row r="569">
      <c r="K569" s="14"/>
      <c r="M569" s="14"/>
      <c r="N569" s="14"/>
    </row>
    <row r="570">
      <c r="K570" s="14"/>
      <c r="M570" s="14"/>
      <c r="N570" s="14"/>
    </row>
    <row r="571">
      <c r="K571" s="14"/>
      <c r="M571" s="14"/>
      <c r="N571" s="14"/>
    </row>
    <row r="572">
      <c r="K572" s="14"/>
      <c r="M572" s="14"/>
      <c r="N572" s="14"/>
    </row>
    <row r="573">
      <c r="K573" s="14"/>
      <c r="M573" s="14"/>
      <c r="N573" s="14"/>
    </row>
    <row r="574">
      <c r="K574" s="14"/>
      <c r="M574" s="14"/>
      <c r="N574" s="14"/>
    </row>
    <row r="575">
      <c r="K575" s="14"/>
      <c r="M575" s="14"/>
      <c r="N575" s="14"/>
    </row>
    <row r="576">
      <c r="K576" s="14"/>
      <c r="M576" s="14"/>
      <c r="N576" s="14"/>
    </row>
    <row r="577">
      <c r="K577" s="14"/>
      <c r="M577" s="14"/>
      <c r="N577" s="14"/>
    </row>
    <row r="578">
      <c r="K578" s="14"/>
      <c r="M578" s="14"/>
      <c r="N578" s="14"/>
    </row>
    <row r="579">
      <c r="K579" s="14"/>
      <c r="M579" s="14"/>
      <c r="N579" s="14"/>
    </row>
    <row r="580">
      <c r="K580" s="14"/>
      <c r="M580" s="14"/>
      <c r="N580" s="14"/>
    </row>
    <row r="581">
      <c r="K581" s="14"/>
      <c r="M581" s="14"/>
      <c r="N581" s="14"/>
    </row>
    <row r="582">
      <c r="K582" s="14"/>
      <c r="M582" s="14"/>
      <c r="N582" s="14"/>
    </row>
    <row r="583">
      <c r="K583" s="14"/>
      <c r="M583" s="14"/>
      <c r="N583" s="14"/>
    </row>
    <row r="584">
      <c r="K584" s="14"/>
      <c r="M584" s="14"/>
      <c r="N584" s="14"/>
    </row>
    <row r="585">
      <c r="K585" s="14"/>
      <c r="M585" s="14"/>
      <c r="N585" s="14"/>
    </row>
    <row r="586">
      <c r="K586" s="14"/>
      <c r="M586" s="14"/>
      <c r="N586" s="14"/>
    </row>
    <row r="587">
      <c r="K587" s="14"/>
      <c r="M587" s="14"/>
      <c r="N587" s="14"/>
    </row>
    <row r="588">
      <c r="K588" s="14"/>
      <c r="M588" s="14"/>
      <c r="N588" s="14"/>
    </row>
    <row r="589">
      <c r="K589" s="14"/>
      <c r="M589" s="14"/>
      <c r="N589" s="14"/>
    </row>
    <row r="590">
      <c r="K590" s="14"/>
      <c r="M590" s="14"/>
      <c r="N590" s="14"/>
    </row>
    <row r="591">
      <c r="K591" s="14"/>
      <c r="M591" s="14"/>
      <c r="N591" s="14"/>
    </row>
    <row r="592">
      <c r="K592" s="14"/>
      <c r="M592" s="14"/>
      <c r="N592" s="14"/>
    </row>
    <row r="593">
      <c r="K593" s="14"/>
      <c r="M593" s="14"/>
      <c r="N593" s="14"/>
    </row>
    <row r="594">
      <c r="K594" s="14"/>
      <c r="M594" s="14"/>
      <c r="N594" s="14"/>
    </row>
    <row r="595">
      <c r="K595" s="14"/>
      <c r="M595" s="14"/>
      <c r="N595" s="14"/>
    </row>
    <row r="596">
      <c r="K596" s="14"/>
      <c r="M596" s="14"/>
      <c r="N596" s="14"/>
    </row>
    <row r="597">
      <c r="K597" s="14"/>
      <c r="M597" s="14"/>
      <c r="N597" s="14"/>
    </row>
    <row r="598">
      <c r="K598" s="14"/>
      <c r="M598" s="14"/>
      <c r="N598" s="14"/>
    </row>
    <row r="599">
      <c r="K599" s="14"/>
      <c r="M599" s="14"/>
      <c r="N599" s="14"/>
    </row>
    <row r="600">
      <c r="K600" s="14"/>
      <c r="M600" s="14"/>
      <c r="N600" s="14"/>
    </row>
    <row r="601">
      <c r="K601" s="14"/>
      <c r="M601" s="14"/>
      <c r="N601" s="14"/>
    </row>
    <row r="602">
      <c r="K602" s="14"/>
      <c r="M602" s="14"/>
      <c r="N602" s="14"/>
    </row>
    <row r="603">
      <c r="K603" s="14"/>
      <c r="M603" s="14"/>
      <c r="N603" s="14"/>
    </row>
    <row r="604">
      <c r="K604" s="14"/>
      <c r="M604" s="14"/>
      <c r="N604" s="14"/>
    </row>
    <row r="605">
      <c r="K605" s="14"/>
      <c r="M605" s="14"/>
      <c r="N605" s="14"/>
    </row>
    <row r="606">
      <c r="K606" s="14"/>
      <c r="M606" s="14"/>
      <c r="N606" s="14"/>
    </row>
    <row r="607">
      <c r="K607" s="14"/>
      <c r="M607" s="14"/>
      <c r="N607" s="14"/>
    </row>
    <row r="608">
      <c r="K608" s="14"/>
      <c r="M608" s="14"/>
      <c r="N608" s="14"/>
    </row>
    <row r="609">
      <c r="K609" s="14"/>
      <c r="M609" s="14"/>
      <c r="N609" s="14"/>
    </row>
    <row r="610">
      <c r="K610" s="14"/>
      <c r="M610" s="14"/>
      <c r="N610" s="14"/>
    </row>
    <row r="611">
      <c r="K611" s="14"/>
      <c r="M611" s="14"/>
      <c r="N611" s="14"/>
    </row>
    <row r="612">
      <c r="K612" s="14"/>
      <c r="M612" s="14"/>
      <c r="N612" s="14"/>
    </row>
    <row r="613">
      <c r="K613" s="14"/>
      <c r="M613" s="14"/>
      <c r="N613" s="14"/>
    </row>
    <row r="614">
      <c r="K614" s="14"/>
      <c r="M614" s="14"/>
      <c r="N614" s="14"/>
    </row>
    <row r="615">
      <c r="K615" s="14"/>
      <c r="M615" s="14"/>
      <c r="N615" s="14"/>
    </row>
    <row r="616">
      <c r="K616" s="14"/>
      <c r="M616" s="14"/>
      <c r="N616" s="14"/>
    </row>
    <row r="617">
      <c r="K617" s="14"/>
      <c r="M617" s="14"/>
      <c r="N617" s="14"/>
    </row>
    <row r="618">
      <c r="K618" s="14"/>
      <c r="M618" s="14"/>
      <c r="N618" s="14"/>
    </row>
    <row r="619">
      <c r="K619" s="14"/>
      <c r="M619" s="14"/>
      <c r="N619" s="14"/>
    </row>
    <row r="620">
      <c r="K620" s="14"/>
      <c r="M620" s="14"/>
      <c r="N620" s="14"/>
    </row>
    <row r="621">
      <c r="K621" s="14"/>
      <c r="M621" s="14"/>
      <c r="N621" s="14"/>
    </row>
    <row r="622">
      <c r="K622" s="14"/>
      <c r="M622" s="14"/>
      <c r="N622" s="14"/>
    </row>
    <row r="623">
      <c r="K623" s="14"/>
      <c r="M623" s="14"/>
      <c r="N623" s="14"/>
    </row>
    <row r="624">
      <c r="K624" s="14"/>
      <c r="M624" s="14"/>
      <c r="N624" s="14"/>
    </row>
    <row r="625">
      <c r="K625" s="14"/>
      <c r="M625" s="14"/>
      <c r="N625" s="14"/>
    </row>
    <row r="626">
      <c r="K626" s="14"/>
      <c r="M626" s="14"/>
      <c r="N626" s="14"/>
    </row>
    <row r="627">
      <c r="K627" s="14"/>
      <c r="M627" s="14"/>
      <c r="N627" s="14"/>
    </row>
    <row r="628">
      <c r="K628" s="14"/>
      <c r="M628" s="14"/>
      <c r="N628" s="14"/>
    </row>
    <row r="629">
      <c r="K629" s="14"/>
      <c r="M629" s="14"/>
      <c r="N629" s="14"/>
    </row>
    <row r="630">
      <c r="K630" s="14"/>
      <c r="M630" s="14"/>
      <c r="N630" s="14"/>
    </row>
    <row r="631">
      <c r="K631" s="14"/>
      <c r="M631" s="14"/>
      <c r="N631" s="14"/>
    </row>
    <row r="632">
      <c r="K632" s="14"/>
      <c r="M632" s="14"/>
      <c r="N632" s="14"/>
    </row>
    <row r="633">
      <c r="K633" s="14"/>
      <c r="M633" s="14"/>
      <c r="N633" s="14"/>
    </row>
    <row r="634">
      <c r="K634" s="14"/>
      <c r="M634" s="14"/>
      <c r="N634" s="14"/>
    </row>
    <row r="635">
      <c r="K635" s="14"/>
      <c r="M635" s="14"/>
      <c r="N635" s="14"/>
    </row>
    <row r="636">
      <c r="K636" s="14"/>
      <c r="M636" s="14"/>
      <c r="N636" s="14"/>
    </row>
    <row r="637">
      <c r="K637" s="14"/>
      <c r="M637" s="14"/>
      <c r="N637" s="14"/>
    </row>
    <row r="638">
      <c r="K638" s="14"/>
      <c r="M638" s="14"/>
      <c r="N638" s="14"/>
    </row>
    <row r="639">
      <c r="K639" s="14"/>
      <c r="M639" s="14"/>
      <c r="N639" s="14"/>
    </row>
    <row r="640">
      <c r="K640" s="14"/>
      <c r="M640" s="14"/>
      <c r="N640" s="14"/>
    </row>
    <row r="641">
      <c r="K641" s="14"/>
      <c r="M641" s="14"/>
      <c r="N641" s="14"/>
    </row>
    <row r="642">
      <c r="K642" s="14"/>
      <c r="M642" s="14"/>
      <c r="N642" s="14"/>
    </row>
    <row r="643">
      <c r="K643" s="14"/>
      <c r="M643" s="14"/>
      <c r="N643" s="14"/>
    </row>
    <row r="644">
      <c r="K644" s="14"/>
      <c r="M644" s="14"/>
      <c r="N644" s="14"/>
    </row>
    <row r="645">
      <c r="K645" s="14"/>
      <c r="M645" s="14"/>
      <c r="N645" s="14"/>
    </row>
    <row r="646">
      <c r="K646" s="14"/>
      <c r="M646" s="14"/>
      <c r="N646" s="14"/>
    </row>
    <row r="647">
      <c r="K647" s="14"/>
      <c r="M647" s="14"/>
      <c r="N647" s="14"/>
    </row>
    <row r="648">
      <c r="K648" s="14"/>
      <c r="M648" s="14"/>
      <c r="N648" s="14"/>
    </row>
    <row r="649">
      <c r="K649" s="14"/>
      <c r="M649" s="14"/>
      <c r="N649" s="14"/>
    </row>
    <row r="650">
      <c r="K650" s="14"/>
      <c r="M650" s="14"/>
      <c r="N650" s="14"/>
    </row>
    <row r="651">
      <c r="K651" s="14"/>
      <c r="M651" s="14"/>
      <c r="N651" s="14"/>
    </row>
    <row r="652">
      <c r="K652" s="14"/>
      <c r="M652" s="14"/>
      <c r="N652" s="14"/>
    </row>
    <row r="653">
      <c r="K653" s="14"/>
      <c r="M653" s="14"/>
      <c r="N653" s="14"/>
    </row>
    <row r="654">
      <c r="K654" s="14"/>
      <c r="M654" s="14"/>
      <c r="N654" s="14"/>
    </row>
    <row r="655">
      <c r="K655" s="14"/>
      <c r="M655" s="14"/>
      <c r="N655" s="14"/>
    </row>
    <row r="656">
      <c r="K656" s="14"/>
      <c r="M656" s="14"/>
      <c r="N656" s="14"/>
    </row>
    <row r="657">
      <c r="K657" s="14"/>
      <c r="M657" s="14"/>
      <c r="N657" s="14"/>
    </row>
    <row r="658">
      <c r="K658" s="14"/>
      <c r="M658" s="14"/>
      <c r="N658" s="14"/>
    </row>
    <row r="659">
      <c r="K659" s="14"/>
      <c r="M659" s="14"/>
      <c r="N659" s="14"/>
    </row>
    <row r="660">
      <c r="K660" s="14"/>
      <c r="M660" s="14"/>
      <c r="N660" s="14"/>
    </row>
    <row r="661">
      <c r="K661" s="14"/>
      <c r="M661" s="14"/>
      <c r="N661" s="14"/>
    </row>
    <row r="662">
      <c r="K662" s="14"/>
      <c r="M662" s="14"/>
      <c r="N662" s="14"/>
    </row>
    <row r="663">
      <c r="K663" s="14"/>
      <c r="M663" s="14"/>
      <c r="N663" s="14"/>
    </row>
    <row r="664">
      <c r="K664" s="14"/>
      <c r="M664" s="14"/>
      <c r="N664" s="14"/>
    </row>
    <row r="665">
      <c r="K665" s="14"/>
      <c r="M665" s="14"/>
      <c r="N665" s="14"/>
    </row>
    <row r="666">
      <c r="K666" s="14"/>
      <c r="M666" s="14"/>
      <c r="N666" s="14"/>
    </row>
    <row r="667">
      <c r="K667" s="14"/>
      <c r="M667" s="14"/>
      <c r="N667" s="14"/>
    </row>
    <row r="668">
      <c r="K668" s="14"/>
      <c r="M668" s="14"/>
      <c r="N668" s="14"/>
    </row>
    <row r="669">
      <c r="K669" s="14"/>
      <c r="M669" s="14"/>
      <c r="N669" s="14"/>
    </row>
    <row r="670">
      <c r="K670" s="14"/>
      <c r="M670" s="14"/>
      <c r="N670" s="14"/>
    </row>
    <row r="671">
      <c r="K671" s="14"/>
      <c r="M671" s="14"/>
      <c r="N671" s="14"/>
    </row>
    <row r="672">
      <c r="K672" s="14"/>
      <c r="M672" s="14"/>
      <c r="N672" s="14"/>
    </row>
    <row r="673">
      <c r="K673" s="14"/>
      <c r="M673" s="14"/>
      <c r="N673" s="14"/>
    </row>
    <row r="674">
      <c r="K674" s="14"/>
      <c r="M674" s="14"/>
      <c r="N674" s="14"/>
    </row>
    <row r="675">
      <c r="K675" s="14"/>
      <c r="M675" s="14"/>
      <c r="N675" s="14"/>
    </row>
    <row r="676">
      <c r="K676" s="14"/>
      <c r="M676" s="14"/>
      <c r="N676" s="14"/>
    </row>
    <row r="677">
      <c r="K677" s="14"/>
      <c r="M677" s="14"/>
      <c r="N677" s="14"/>
    </row>
    <row r="678">
      <c r="K678" s="14"/>
      <c r="M678" s="14"/>
      <c r="N678" s="14"/>
    </row>
    <row r="679">
      <c r="K679" s="14"/>
      <c r="M679" s="14"/>
      <c r="N679" s="14"/>
    </row>
    <row r="680">
      <c r="K680" s="14"/>
      <c r="M680" s="14"/>
      <c r="N680" s="14"/>
    </row>
    <row r="681">
      <c r="K681" s="14"/>
      <c r="M681" s="14"/>
      <c r="N681" s="14"/>
    </row>
    <row r="682">
      <c r="K682" s="14"/>
      <c r="M682" s="14"/>
      <c r="N682" s="14"/>
    </row>
    <row r="683">
      <c r="K683" s="14"/>
      <c r="M683" s="14"/>
      <c r="N683" s="14"/>
    </row>
    <row r="684">
      <c r="K684" s="14"/>
      <c r="M684" s="14"/>
      <c r="N684" s="14"/>
    </row>
    <row r="685">
      <c r="K685" s="14"/>
      <c r="M685" s="14"/>
      <c r="N685" s="14"/>
    </row>
    <row r="686">
      <c r="K686" s="14"/>
      <c r="M686" s="14"/>
      <c r="N686" s="14"/>
    </row>
    <row r="687">
      <c r="K687" s="14"/>
      <c r="M687" s="14"/>
      <c r="N687" s="14"/>
    </row>
    <row r="688">
      <c r="K688" s="14"/>
      <c r="M688" s="14"/>
      <c r="N688" s="14"/>
    </row>
    <row r="689">
      <c r="K689" s="14"/>
      <c r="M689" s="14"/>
      <c r="N689" s="14"/>
    </row>
    <row r="690">
      <c r="K690" s="14"/>
      <c r="M690" s="14"/>
      <c r="N690" s="14"/>
    </row>
    <row r="691">
      <c r="K691" s="14"/>
      <c r="M691" s="14"/>
      <c r="N691" s="14"/>
    </row>
    <row r="692">
      <c r="K692" s="14"/>
      <c r="M692" s="14"/>
      <c r="N692" s="14"/>
    </row>
    <row r="693">
      <c r="K693" s="14"/>
      <c r="M693" s="14"/>
      <c r="N693" s="14"/>
    </row>
    <row r="694">
      <c r="K694" s="14"/>
      <c r="M694" s="14"/>
      <c r="N694" s="14"/>
    </row>
    <row r="695">
      <c r="K695" s="14"/>
      <c r="M695" s="14"/>
      <c r="N695" s="14"/>
    </row>
    <row r="696">
      <c r="K696" s="14"/>
      <c r="M696" s="14"/>
      <c r="N696" s="14"/>
    </row>
    <row r="697">
      <c r="K697" s="14"/>
      <c r="M697" s="14"/>
      <c r="N697" s="14"/>
    </row>
    <row r="698">
      <c r="K698" s="14"/>
      <c r="M698" s="14"/>
      <c r="N698" s="14"/>
    </row>
    <row r="699">
      <c r="K699" s="14"/>
      <c r="M699" s="14"/>
      <c r="N699" s="14"/>
    </row>
    <row r="700">
      <c r="K700" s="14"/>
      <c r="M700" s="14"/>
      <c r="N700" s="14"/>
    </row>
    <row r="701">
      <c r="K701" s="14"/>
      <c r="M701" s="14"/>
      <c r="N701" s="14"/>
    </row>
    <row r="702">
      <c r="K702" s="14"/>
      <c r="M702" s="14"/>
      <c r="N702" s="14"/>
    </row>
    <row r="703">
      <c r="K703" s="14"/>
      <c r="M703" s="14"/>
      <c r="N703" s="14"/>
    </row>
    <row r="704">
      <c r="K704" s="14"/>
      <c r="M704" s="14"/>
      <c r="N704" s="14"/>
    </row>
    <row r="705">
      <c r="K705" s="14"/>
      <c r="M705" s="14"/>
      <c r="N705" s="14"/>
    </row>
    <row r="706">
      <c r="K706" s="14"/>
      <c r="M706" s="14"/>
      <c r="N706" s="14"/>
    </row>
    <row r="707">
      <c r="K707" s="14"/>
      <c r="M707" s="14"/>
      <c r="N707" s="14"/>
    </row>
    <row r="708">
      <c r="K708" s="14"/>
      <c r="M708" s="14"/>
      <c r="N708" s="14"/>
    </row>
    <row r="709">
      <c r="K709" s="14"/>
      <c r="M709" s="14"/>
      <c r="N709" s="14"/>
    </row>
    <row r="710">
      <c r="K710" s="14"/>
      <c r="M710" s="14"/>
      <c r="N710" s="14"/>
    </row>
    <row r="711">
      <c r="K711" s="14"/>
      <c r="M711" s="14"/>
      <c r="N711" s="14"/>
    </row>
    <row r="712">
      <c r="K712" s="14"/>
      <c r="M712" s="14"/>
      <c r="N712" s="14"/>
    </row>
    <row r="713">
      <c r="K713" s="14"/>
      <c r="M713" s="14"/>
      <c r="N713" s="14"/>
    </row>
    <row r="714">
      <c r="K714" s="14"/>
      <c r="M714" s="14"/>
      <c r="N714" s="14"/>
    </row>
    <row r="715">
      <c r="K715" s="14"/>
      <c r="M715" s="14"/>
      <c r="N715" s="14"/>
    </row>
    <row r="716">
      <c r="K716" s="14"/>
      <c r="M716" s="14"/>
      <c r="N716" s="14"/>
    </row>
    <row r="717">
      <c r="K717" s="14"/>
      <c r="M717" s="14"/>
      <c r="N717" s="14"/>
    </row>
    <row r="718">
      <c r="K718" s="14"/>
      <c r="M718" s="14"/>
      <c r="N718" s="14"/>
    </row>
    <row r="719">
      <c r="K719" s="14"/>
      <c r="M719" s="14"/>
      <c r="N719" s="14"/>
    </row>
    <row r="720">
      <c r="K720" s="14"/>
      <c r="M720" s="14"/>
      <c r="N720" s="14"/>
    </row>
    <row r="721">
      <c r="K721" s="14"/>
      <c r="M721" s="14"/>
      <c r="N721" s="14"/>
    </row>
    <row r="722">
      <c r="K722" s="14"/>
      <c r="M722" s="14"/>
      <c r="N722" s="14"/>
    </row>
    <row r="723">
      <c r="K723" s="14"/>
      <c r="M723" s="14"/>
      <c r="N723" s="14"/>
    </row>
    <row r="724">
      <c r="K724" s="14"/>
      <c r="M724" s="14"/>
      <c r="N724" s="14"/>
    </row>
    <row r="725">
      <c r="K725" s="14"/>
      <c r="M725" s="14"/>
      <c r="N725" s="14"/>
    </row>
    <row r="726">
      <c r="K726" s="14"/>
      <c r="M726" s="14"/>
      <c r="N726" s="14"/>
    </row>
    <row r="727">
      <c r="K727" s="14"/>
      <c r="M727" s="14"/>
      <c r="N727" s="14"/>
    </row>
    <row r="728">
      <c r="K728" s="14"/>
      <c r="M728" s="14"/>
      <c r="N728" s="14"/>
    </row>
    <row r="729">
      <c r="K729" s="14"/>
      <c r="M729" s="14"/>
      <c r="N729" s="14"/>
    </row>
    <row r="730">
      <c r="K730" s="14"/>
      <c r="M730" s="14"/>
      <c r="N730" s="14"/>
    </row>
    <row r="731">
      <c r="K731" s="14"/>
      <c r="M731" s="14"/>
      <c r="N731" s="14"/>
    </row>
    <row r="732">
      <c r="K732" s="14"/>
      <c r="M732" s="14"/>
      <c r="N732" s="14"/>
    </row>
    <row r="733">
      <c r="K733" s="14"/>
      <c r="M733" s="14"/>
      <c r="N733" s="14"/>
    </row>
    <row r="734">
      <c r="K734" s="14"/>
      <c r="M734" s="14"/>
      <c r="N734" s="14"/>
    </row>
    <row r="735">
      <c r="K735" s="14"/>
      <c r="M735" s="14"/>
      <c r="N735" s="14"/>
    </row>
    <row r="736">
      <c r="K736" s="14"/>
      <c r="M736" s="14"/>
      <c r="N736" s="14"/>
    </row>
    <row r="737">
      <c r="K737" s="14"/>
      <c r="M737" s="14"/>
      <c r="N737" s="14"/>
    </row>
    <row r="738">
      <c r="K738" s="14"/>
      <c r="M738" s="14"/>
      <c r="N738" s="14"/>
    </row>
    <row r="739">
      <c r="K739" s="14"/>
      <c r="M739" s="14"/>
      <c r="N739" s="14"/>
    </row>
    <row r="740">
      <c r="K740" s="14"/>
      <c r="M740" s="14"/>
      <c r="N740" s="14"/>
    </row>
    <row r="741">
      <c r="K741" s="14"/>
      <c r="M741" s="14"/>
      <c r="N741" s="14"/>
    </row>
    <row r="742">
      <c r="K742" s="14"/>
      <c r="M742" s="14"/>
      <c r="N742" s="14"/>
    </row>
    <row r="743">
      <c r="K743" s="14"/>
      <c r="M743" s="14"/>
      <c r="N743" s="14"/>
    </row>
    <row r="744">
      <c r="K744" s="14"/>
      <c r="M744" s="14"/>
      <c r="N744" s="14"/>
    </row>
    <row r="745">
      <c r="K745" s="14"/>
      <c r="M745" s="14"/>
      <c r="N745" s="14"/>
    </row>
    <row r="746">
      <c r="K746" s="14"/>
      <c r="M746" s="14"/>
      <c r="N746" s="14"/>
    </row>
    <row r="747">
      <c r="K747" s="14"/>
      <c r="M747" s="14"/>
      <c r="N747" s="14"/>
    </row>
    <row r="748">
      <c r="K748" s="14"/>
      <c r="M748" s="14"/>
      <c r="N748" s="14"/>
    </row>
    <row r="749">
      <c r="K749" s="14"/>
      <c r="M749" s="14"/>
      <c r="N749" s="14"/>
    </row>
    <row r="750">
      <c r="K750" s="14"/>
      <c r="M750" s="14"/>
      <c r="N750" s="14"/>
    </row>
    <row r="751">
      <c r="K751" s="14"/>
      <c r="M751" s="14"/>
      <c r="N751" s="14"/>
    </row>
    <row r="752">
      <c r="K752" s="14"/>
      <c r="M752" s="14"/>
      <c r="N752" s="14"/>
    </row>
    <row r="753">
      <c r="K753" s="14"/>
      <c r="M753" s="14"/>
      <c r="N753" s="14"/>
    </row>
    <row r="754">
      <c r="K754" s="14"/>
      <c r="M754" s="14"/>
      <c r="N754" s="14"/>
    </row>
    <row r="755">
      <c r="K755" s="14"/>
      <c r="M755" s="14"/>
      <c r="N755" s="14"/>
    </row>
    <row r="756">
      <c r="K756" s="14"/>
      <c r="M756" s="14"/>
      <c r="N756" s="14"/>
    </row>
    <row r="757">
      <c r="K757" s="14"/>
      <c r="M757" s="14"/>
      <c r="N757" s="14"/>
    </row>
    <row r="758">
      <c r="K758" s="14"/>
      <c r="M758" s="14"/>
      <c r="N758" s="14"/>
    </row>
    <row r="759">
      <c r="K759" s="14"/>
      <c r="M759" s="14"/>
      <c r="N759" s="14"/>
    </row>
    <row r="760">
      <c r="K760" s="14"/>
      <c r="M760" s="14"/>
      <c r="N760" s="14"/>
    </row>
    <row r="761">
      <c r="K761" s="14"/>
      <c r="M761" s="14"/>
      <c r="N761" s="14"/>
    </row>
    <row r="762">
      <c r="K762" s="14"/>
      <c r="M762" s="14"/>
      <c r="N762" s="14"/>
    </row>
    <row r="763">
      <c r="K763" s="14"/>
      <c r="M763" s="14"/>
      <c r="N763" s="14"/>
    </row>
    <row r="764">
      <c r="K764" s="14"/>
      <c r="M764" s="14"/>
      <c r="N764" s="14"/>
    </row>
    <row r="765">
      <c r="K765" s="14"/>
      <c r="M765" s="14"/>
      <c r="N765" s="14"/>
    </row>
    <row r="766">
      <c r="K766" s="14"/>
      <c r="M766" s="14"/>
      <c r="N766" s="14"/>
    </row>
    <row r="767">
      <c r="K767" s="14"/>
      <c r="M767" s="14"/>
      <c r="N767" s="14"/>
    </row>
    <row r="768">
      <c r="K768" s="14"/>
      <c r="M768" s="14"/>
      <c r="N768" s="14"/>
    </row>
    <row r="769">
      <c r="K769" s="14"/>
      <c r="M769" s="14"/>
      <c r="N769" s="14"/>
    </row>
    <row r="770">
      <c r="K770" s="14"/>
      <c r="M770" s="14"/>
      <c r="N770" s="14"/>
    </row>
    <row r="771">
      <c r="K771" s="14"/>
      <c r="M771" s="14"/>
      <c r="N771" s="14"/>
    </row>
    <row r="772">
      <c r="K772" s="14"/>
      <c r="M772" s="14"/>
      <c r="N772" s="14"/>
    </row>
    <row r="773">
      <c r="K773" s="14"/>
      <c r="M773" s="14"/>
      <c r="N773" s="14"/>
    </row>
    <row r="774">
      <c r="K774" s="14"/>
      <c r="M774" s="14"/>
      <c r="N774" s="14"/>
    </row>
    <row r="775">
      <c r="K775" s="14"/>
      <c r="M775" s="14"/>
      <c r="N775" s="14"/>
    </row>
    <row r="776">
      <c r="K776" s="14"/>
      <c r="M776" s="14"/>
      <c r="N776" s="14"/>
    </row>
    <row r="777">
      <c r="K777" s="14"/>
      <c r="M777" s="14"/>
      <c r="N777" s="14"/>
    </row>
    <row r="778">
      <c r="K778" s="14"/>
      <c r="M778" s="14"/>
      <c r="N778" s="14"/>
    </row>
    <row r="779">
      <c r="K779" s="14"/>
      <c r="M779" s="14"/>
      <c r="N779" s="14"/>
    </row>
    <row r="780">
      <c r="K780" s="14"/>
      <c r="M780" s="14"/>
      <c r="N780" s="14"/>
    </row>
    <row r="781">
      <c r="K781" s="14"/>
      <c r="M781" s="14"/>
      <c r="N781" s="14"/>
    </row>
    <row r="782">
      <c r="K782" s="14"/>
      <c r="M782" s="14"/>
      <c r="N782" s="14"/>
    </row>
    <row r="783">
      <c r="K783" s="14"/>
      <c r="M783" s="14"/>
      <c r="N783" s="14"/>
    </row>
    <row r="784">
      <c r="K784" s="14"/>
      <c r="M784" s="14"/>
      <c r="N784" s="14"/>
    </row>
    <row r="785">
      <c r="K785" s="14"/>
      <c r="M785" s="14"/>
      <c r="N785" s="14"/>
    </row>
    <row r="786">
      <c r="K786" s="14"/>
      <c r="M786" s="14"/>
      <c r="N786" s="14"/>
    </row>
    <row r="787">
      <c r="K787" s="14"/>
      <c r="M787" s="14"/>
      <c r="N787" s="14"/>
    </row>
    <row r="788">
      <c r="K788" s="14"/>
      <c r="M788" s="14"/>
      <c r="N788" s="14"/>
    </row>
    <row r="789">
      <c r="K789" s="14"/>
      <c r="M789" s="14"/>
      <c r="N789" s="14"/>
    </row>
    <row r="790">
      <c r="K790" s="14"/>
      <c r="M790" s="14"/>
      <c r="N790" s="14"/>
    </row>
    <row r="791">
      <c r="K791" s="14"/>
      <c r="M791" s="14"/>
      <c r="N791" s="14"/>
    </row>
    <row r="792">
      <c r="K792" s="14"/>
      <c r="M792" s="14"/>
      <c r="N792" s="14"/>
    </row>
    <row r="793">
      <c r="K793" s="14"/>
      <c r="M793" s="14"/>
      <c r="N793" s="14"/>
    </row>
    <row r="794">
      <c r="K794" s="14"/>
      <c r="M794" s="14"/>
      <c r="N794" s="14"/>
    </row>
    <row r="795">
      <c r="K795" s="14"/>
      <c r="M795" s="14"/>
      <c r="N795" s="14"/>
    </row>
    <row r="796">
      <c r="K796" s="14"/>
      <c r="M796" s="14"/>
      <c r="N796" s="14"/>
    </row>
    <row r="797">
      <c r="K797" s="14"/>
      <c r="M797" s="14"/>
      <c r="N797" s="14"/>
    </row>
    <row r="798">
      <c r="K798" s="14"/>
      <c r="M798" s="14"/>
      <c r="N798" s="14"/>
    </row>
    <row r="799">
      <c r="K799" s="14"/>
      <c r="M799" s="14"/>
      <c r="N799" s="14"/>
    </row>
    <row r="800">
      <c r="K800" s="14"/>
      <c r="M800" s="14"/>
      <c r="N800" s="14"/>
    </row>
    <row r="801">
      <c r="K801" s="14"/>
      <c r="M801" s="14"/>
      <c r="N801" s="14"/>
    </row>
    <row r="802">
      <c r="K802" s="14"/>
      <c r="M802" s="14"/>
      <c r="N802" s="14"/>
    </row>
    <row r="803">
      <c r="K803" s="14"/>
      <c r="M803" s="14"/>
      <c r="N803" s="14"/>
    </row>
    <row r="804">
      <c r="K804" s="14"/>
      <c r="M804" s="14"/>
      <c r="N804" s="14"/>
    </row>
    <row r="805">
      <c r="K805" s="14"/>
      <c r="M805" s="14"/>
      <c r="N805" s="14"/>
    </row>
    <row r="806">
      <c r="K806" s="14"/>
      <c r="M806" s="14"/>
      <c r="N806" s="14"/>
    </row>
    <row r="807">
      <c r="K807" s="14"/>
      <c r="M807" s="14"/>
      <c r="N807" s="14"/>
    </row>
    <row r="808">
      <c r="K808" s="14"/>
      <c r="M808" s="14"/>
      <c r="N808" s="14"/>
    </row>
    <row r="809">
      <c r="K809" s="14"/>
      <c r="M809" s="14"/>
      <c r="N809" s="14"/>
    </row>
    <row r="810">
      <c r="K810" s="14"/>
      <c r="M810" s="14"/>
      <c r="N810" s="14"/>
    </row>
    <row r="811">
      <c r="K811" s="14"/>
      <c r="M811" s="14"/>
      <c r="N811" s="14"/>
    </row>
    <row r="812">
      <c r="K812" s="14"/>
      <c r="M812" s="14"/>
      <c r="N812" s="14"/>
    </row>
    <row r="813">
      <c r="K813" s="14"/>
      <c r="M813" s="14"/>
      <c r="N813" s="14"/>
    </row>
    <row r="814">
      <c r="K814" s="14"/>
      <c r="M814" s="14"/>
      <c r="N814" s="14"/>
    </row>
    <row r="815">
      <c r="K815" s="14"/>
      <c r="M815" s="14"/>
      <c r="N815" s="14"/>
    </row>
    <row r="816">
      <c r="K816" s="14"/>
      <c r="M816" s="14"/>
      <c r="N816" s="14"/>
    </row>
    <row r="817">
      <c r="K817" s="14"/>
      <c r="M817" s="14"/>
      <c r="N817" s="14"/>
    </row>
    <row r="818">
      <c r="K818" s="14"/>
      <c r="M818" s="14"/>
      <c r="N818" s="14"/>
    </row>
    <row r="819">
      <c r="K819" s="14"/>
      <c r="M819" s="14"/>
      <c r="N819" s="14"/>
    </row>
    <row r="820">
      <c r="K820" s="14"/>
      <c r="M820" s="14"/>
      <c r="N820" s="14"/>
    </row>
    <row r="821">
      <c r="K821" s="14"/>
      <c r="M821" s="14"/>
      <c r="N821" s="14"/>
    </row>
    <row r="822">
      <c r="K822" s="14"/>
      <c r="M822" s="14"/>
      <c r="N822" s="14"/>
    </row>
    <row r="823">
      <c r="K823" s="14"/>
      <c r="M823" s="14"/>
      <c r="N823" s="14"/>
    </row>
    <row r="824">
      <c r="K824" s="14"/>
      <c r="M824" s="14"/>
      <c r="N824" s="14"/>
    </row>
    <row r="825">
      <c r="K825" s="14"/>
      <c r="M825" s="14"/>
      <c r="N825" s="14"/>
    </row>
    <row r="826">
      <c r="K826" s="14"/>
      <c r="M826" s="14"/>
      <c r="N826" s="14"/>
    </row>
    <row r="827">
      <c r="K827" s="14"/>
      <c r="M827" s="14"/>
      <c r="N827" s="14"/>
    </row>
    <row r="828">
      <c r="K828" s="14"/>
      <c r="M828" s="14"/>
      <c r="N828" s="14"/>
    </row>
    <row r="829">
      <c r="K829" s="14"/>
      <c r="M829" s="14"/>
      <c r="N829" s="14"/>
    </row>
    <row r="830">
      <c r="K830" s="14"/>
      <c r="M830" s="14"/>
      <c r="N830" s="14"/>
    </row>
    <row r="831">
      <c r="K831" s="14"/>
      <c r="M831" s="14"/>
      <c r="N831" s="14"/>
    </row>
    <row r="832">
      <c r="K832" s="14"/>
      <c r="M832" s="14"/>
      <c r="N832" s="14"/>
    </row>
    <row r="833">
      <c r="K833" s="14"/>
      <c r="M833" s="14"/>
      <c r="N833" s="14"/>
    </row>
    <row r="834">
      <c r="K834" s="14"/>
      <c r="M834" s="14"/>
      <c r="N834" s="14"/>
    </row>
    <row r="835">
      <c r="K835" s="14"/>
      <c r="M835" s="14"/>
      <c r="N835" s="14"/>
    </row>
    <row r="836">
      <c r="K836" s="14"/>
      <c r="M836" s="14"/>
      <c r="N836" s="14"/>
    </row>
    <row r="837">
      <c r="K837" s="14"/>
      <c r="M837" s="14"/>
      <c r="N837" s="14"/>
    </row>
    <row r="838">
      <c r="K838" s="14"/>
      <c r="M838" s="14"/>
      <c r="N838" s="14"/>
    </row>
    <row r="839">
      <c r="K839" s="14"/>
      <c r="M839" s="14"/>
      <c r="N839" s="14"/>
    </row>
    <row r="840">
      <c r="K840" s="14"/>
      <c r="M840" s="14"/>
      <c r="N840" s="14"/>
    </row>
    <row r="841">
      <c r="K841" s="14"/>
      <c r="M841" s="14"/>
      <c r="N841" s="14"/>
    </row>
    <row r="842">
      <c r="K842" s="14"/>
      <c r="M842" s="14"/>
      <c r="N842" s="14"/>
    </row>
    <row r="843">
      <c r="K843" s="14"/>
      <c r="M843" s="14"/>
      <c r="N843" s="14"/>
    </row>
    <row r="844">
      <c r="K844" s="14"/>
      <c r="M844" s="14"/>
      <c r="N844" s="14"/>
    </row>
    <row r="845">
      <c r="K845" s="14"/>
      <c r="M845" s="14"/>
      <c r="N845" s="14"/>
    </row>
    <row r="846">
      <c r="K846" s="14"/>
      <c r="M846" s="14"/>
      <c r="N846" s="14"/>
    </row>
    <row r="847">
      <c r="K847" s="14"/>
      <c r="M847" s="14"/>
      <c r="N847" s="14"/>
    </row>
    <row r="848">
      <c r="K848" s="14"/>
      <c r="M848" s="14"/>
      <c r="N848" s="14"/>
    </row>
    <row r="849">
      <c r="K849" s="14"/>
      <c r="M849" s="14"/>
      <c r="N849" s="14"/>
    </row>
    <row r="850">
      <c r="K850" s="14"/>
      <c r="M850" s="14"/>
      <c r="N850" s="14"/>
    </row>
    <row r="851">
      <c r="K851" s="14"/>
      <c r="M851" s="14"/>
      <c r="N851" s="14"/>
    </row>
    <row r="852">
      <c r="K852" s="14"/>
      <c r="M852" s="14"/>
      <c r="N852" s="14"/>
    </row>
    <row r="853">
      <c r="K853" s="14"/>
      <c r="M853" s="14"/>
      <c r="N853" s="14"/>
    </row>
    <row r="854">
      <c r="K854" s="14"/>
      <c r="M854" s="14"/>
      <c r="N854" s="14"/>
    </row>
    <row r="855">
      <c r="K855" s="14"/>
      <c r="M855" s="14"/>
      <c r="N855" s="14"/>
    </row>
    <row r="856">
      <c r="K856" s="14"/>
      <c r="M856" s="14"/>
      <c r="N856" s="14"/>
    </row>
    <row r="857">
      <c r="K857" s="14"/>
      <c r="M857" s="14"/>
      <c r="N857" s="14"/>
    </row>
    <row r="858">
      <c r="K858" s="14"/>
      <c r="M858" s="14"/>
      <c r="N858" s="14"/>
    </row>
    <row r="859">
      <c r="K859" s="14"/>
      <c r="M859" s="14"/>
      <c r="N859" s="14"/>
    </row>
    <row r="860">
      <c r="K860" s="14"/>
      <c r="M860" s="14"/>
      <c r="N860" s="14"/>
    </row>
    <row r="861">
      <c r="K861" s="14"/>
      <c r="M861" s="14"/>
      <c r="N861" s="14"/>
    </row>
    <row r="862">
      <c r="K862" s="14"/>
      <c r="M862" s="14"/>
      <c r="N862" s="14"/>
    </row>
    <row r="863">
      <c r="K863" s="14"/>
      <c r="M863" s="14"/>
      <c r="N863" s="14"/>
    </row>
    <row r="864">
      <c r="K864" s="14"/>
      <c r="M864" s="14"/>
      <c r="N864" s="14"/>
    </row>
    <row r="865">
      <c r="K865" s="14"/>
      <c r="M865" s="14"/>
      <c r="N865" s="14"/>
    </row>
    <row r="866">
      <c r="K866" s="14"/>
      <c r="M866" s="14"/>
      <c r="N866" s="14"/>
    </row>
    <row r="867">
      <c r="K867" s="14"/>
      <c r="M867" s="14"/>
      <c r="N867" s="14"/>
    </row>
    <row r="868">
      <c r="K868" s="14"/>
      <c r="M868" s="14"/>
      <c r="N868" s="14"/>
    </row>
    <row r="869">
      <c r="K869" s="14"/>
      <c r="M869" s="14"/>
      <c r="N869" s="14"/>
    </row>
    <row r="870">
      <c r="K870" s="14"/>
      <c r="M870" s="14"/>
      <c r="N870" s="14"/>
    </row>
    <row r="871">
      <c r="K871" s="14"/>
      <c r="M871" s="14"/>
      <c r="N871" s="14"/>
    </row>
    <row r="872">
      <c r="K872" s="14"/>
      <c r="M872" s="14"/>
      <c r="N872" s="14"/>
    </row>
    <row r="873">
      <c r="K873" s="14"/>
      <c r="M873" s="14"/>
      <c r="N873" s="14"/>
    </row>
    <row r="874">
      <c r="K874" s="14"/>
      <c r="M874" s="14"/>
      <c r="N874" s="14"/>
    </row>
    <row r="875">
      <c r="K875" s="14"/>
      <c r="M875" s="14"/>
      <c r="N875" s="14"/>
    </row>
    <row r="876">
      <c r="K876" s="14"/>
      <c r="M876" s="14"/>
      <c r="N876" s="14"/>
    </row>
    <row r="877">
      <c r="K877" s="14"/>
      <c r="M877" s="14"/>
      <c r="N877" s="14"/>
    </row>
    <row r="878">
      <c r="K878" s="14"/>
      <c r="M878" s="14"/>
      <c r="N878" s="14"/>
    </row>
    <row r="879">
      <c r="K879" s="14"/>
      <c r="M879" s="14"/>
      <c r="N879" s="14"/>
    </row>
    <row r="880">
      <c r="K880" s="14"/>
      <c r="M880" s="14"/>
      <c r="N880" s="14"/>
    </row>
    <row r="881">
      <c r="K881" s="14"/>
      <c r="M881" s="14"/>
      <c r="N881" s="14"/>
    </row>
    <row r="882">
      <c r="K882" s="14"/>
      <c r="M882" s="14"/>
      <c r="N882" s="14"/>
    </row>
    <row r="883">
      <c r="K883" s="14"/>
      <c r="M883" s="14"/>
      <c r="N883" s="14"/>
    </row>
    <row r="884">
      <c r="K884" s="14"/>
      <c r="M884" s="14"/>
      <c r="N884" s="14"/>
    </row>
    <row r="885">
      <c r="K885" s="14"/>
      <c r="M885" s="14"/>
      <c r="N885" s="14"/>
    </row>
    <row r="886">
      <c r="K886" s="14"/>
      <c r="M886" s="14"/>
      <c r="N886" s="14"/>
    </row>
    <row r="887">
      <c r="K887" s="14"/>
      <c r="M887" s="14"/>
      <c r="N887" s="14"/>
    </row>
    <row r="888">
      <c r="K888" s="14"/>
      <c r="M888" s="14"/>
      <c r="N888" s="14"/>
    </row>
    <row r="889">
      <c r="K889" s="14"/>
      <c r="M889" s="14"/>
      <c r="N889" s="14"/>
    </row>
    <row r="890">
      <c r="K890" s="14"/>
      <c r="M890" s="14"/>
      <c r="N890" s="14"/>
    </row>
    <row r="891">
      <c r="K891" s="14"/>
      <c r="M891" s="14"/>
      <c r="N891" s="14"/>
    </row>
    <row r="892">
      <c r="K892" s="14"/>
      <c r="M892" s="14"/>
      <c r="N892" s="14"/>
    </row>
    <row r="893">
      <c r="K893" s="14"/>
      <c r="M893" s="14"/>
      <c r="N893" s="14"/>
    </row>
    <row r="894">
      <c r="K894" s="14"/>
      <c r="M894" s="14"/>
      <c r="N894" s="14"/>
    </row>
    <row r="895">
      <c r="K895" s="14"/>
      <c r="M895" s="14"/>
      <c r="N895" s="14"/>
    </row>
    <row r="896">
      <c r="K896" s="14"/>
      <c r="M896" s="14"/>
      <c r="N896" s="14"/>
    </row>
    <row r="897">
      <c r="K897" s="14"/>
      <c r="M897" s="14"/>
      <c r="N897" s="14"/>
    </row>
    <row r="898">
      <c r="K898" s="14"/>
      <c r="M898" s="14"/>
      <c r="N898" s="14"/>
    </row>
    <row r="899">
      <c r="K899" s="14"/>
      <c r="M899" s="14"/>
      <c r="N899" s="14"/>
    </row>
    <row r="900">
      <c r="K900" s="14"/>
      <c r="M900" s="14"/>
      <c r="N900" s="14"/>
    </row>
    <row r="901">
      <c r="K901" s="14"/>
      <c r="M901" s="14"/>
      <c r="N901" s="14"/>
    </row>
    <row r="902">
      <c r="K902" s="14"/>
      <c r="M902" s="14"/>
      <c r="N902" s="14"/>
    </row>
    <row r="903">
      <c r="K903" s="14"/>
      <c r="M903" s="14"/>
      <c r="N903" s="14"/>
    </row>
    <row r="904">
      <c r="K904" s="14"/>
      <c r="M904" s="14"/>
      <c r="N904" s="14"/>
    </row>
    <row r="905">
      <c r="K905" s="14"/>
      <c r="M905" s="14"/>
      <c r="N905" s="14"/>
    </row>
    <row r="906">
      <c r="K906" s="14"/>
      <c r="M906" s="14"/>
      <c r="N906" s="14"/>
    </row>
    <row r="907">
      <c r="K907" s="14"/>
      <c r="M907" s="14"/>
      <c r="N907" s="14"/>
    </row>
    <row r="908">
      <c r="K908" s="14"/>
      <c r="M908" s="14"/>
      <c r="N908" s="14"/>
    </row>
    <row r="909">
      <c r="K909" s="14"/>
      <c r="M909" s="14"/>
      <c r="N909" s="14"/>
    </row>
    <row r="910">
      <c r="K910" s="14"/>
      <c r="M910" s="14"/>
      <c r="N910" s="14"/>
    </row>
    <row r="911">
      <c r="K911" s="14"/>
      <c r="M911" s="14"/>
      <c r="N911" s="14"/>
    </row>
    <row r="912">
      <c r="K912" s="14"/>
      <c r="M912" s="14"/>
      <c r="N912" s="14"/>
    </row>
    <row r="913">
      <c r="K913" s="14"/>
      <c r="M913" s="14"/>
      <c r="N913" s="14"/>
    </row>
    <row r="914">
      <c r="K914" s="14"/>
      <c r="M914" s="14"/>
      <c r="N914" s="14"/>
    </row>
    <row r="915">
      <c r="K915" s="14"/>
      <c r="M915" s="14"/>
      <c r="N915" s="14"/>
    </row>
    <row r="916">
      <c r="K916" s="14"/>
      <c r="M916" s="14"/>
      <c r="N916" s="14"/>
    </row>
    <row r="917">
      <c r="K917" s="14"/>
      <c r="M917" s="14"/>
      <c r="N917" s="14"/>
    </row>
    <row r="918">
      <c r="K918" s="14"/>
      <c r="M918" s="14"/>
      <c r="N918" s="14"/>
    </row>
    <row r="919">
      <c r="K919" s="14"/>
      <c r="M919" s="14"/>
      <c r="N919" s="14"/>
    </row>
    <row r="920">
      <c r="K920" s="14"/>
      <c r="M920" s="14"/>
      <c r="N920" s="14"/>
    </row>
    <row r="921">
      <c r="K921" s="14"/>
      <c r="M921" s="14"/>
      <c r="N921" s="14"/>
    </row>
    <row r="922">
      <c r="K922" s="14"/>
      <c r="M922" s="14"/>
      <c r="N922" s="14"/>
    </row>
    <row r="923">
      <c r="K923" s="14"/>
      <c r="M923" s="14"/>
      <c r="N923" s="14"/>
    </row>
    <row r="924">
      <c r="K924" s="14"/>
      <c r="M924" s="14"/>
      <c r="N924" s="14"/>
    </row>
    <row r="925">
      <c r="K925" s="14"/>
      <c r="M925" s="14"/>
      <c r="N925" s="14"/>
    </row>
    <row r="926">
      <c r="K926" s="14"/>
      <c r="M926" s="14"/>
      <c r="N926" s="14"/>
    </row>
    <row r="927">
      <c r="K927" s="14"/>
      <c r="M927" s="14"/>
      <c r="N927" s="14"/>
    </row>
    <row r="928">
      <c r="K928" s="14"/>
      <c r="M928" s="14"/>
      <c r="N928" s="14"/>
    </row>
    <row r="929">
      <c r="K929" s="14"/>
      <c r="M929" s="14"/>
      <c r="N929" s="14"/>
    </row>
    <row r="930">
      <c r="K930" s="14"/>
      <c r="M930" s="14"/>
      <c r="N930" s="14"/>
    </row>
    <row r="931">
      <c r="K931" s="14"/>
      <c r="M931" s="14"/>
      <c r="N931" s="14"/>
    </row>
    <row r="932">
      <c r="K932" s="14"/>
      <c r="M932" s="14"/>
      <c r="N932" s="14"/>
    </row>
    <row r="933">
      <c r="K933" s="14"/>
      <c r="M933" s="14"/>
      <c r="N933" s="14"/>
    </row>
    <row r="934">
      <c r="K934" s="14"/>
      <c r="M934" s="14"/>
      <c r="N934" s="14"/>
    </row>
    <row r="935">
      <c r="K935" s="14"/>
      <c r="M935" s="14"/>
      <c r="N935" s="14"/>
    </row>
    <row r="936">
      <c r="K936" s="14"/>
      <c r="M936" s="14"/>
      <c r="N936" s="14"/>
    </row>
    <row r="937">
      <c r="K937" s="14"/>
      <c r="M937" s="14"/>
      <c r="N937" s="14"/>
    </row>
    <row r="938">
      <c r="K938" s="14"/>
      <c r="M938" s="14"/>
      <c r="N938" s="14"/>
    </row>
    <row r="939">
      <c r="K939" s="14"/>
      <c r="M939" s="14"/>
      <c r="N939" s="14"/>
    </row>
    <row r="940">
      <c r="K940" s="14"/>
      <c r="M940" s="14"/>
      <c r="N940" s="14"/>
    </row>
    <row r="941">
      <c r="K941" s="14"/>
      <c r="M941" s="14"/>
      <c r="N941" s="14"/>
    </row>
    <row r="942">
      <c r="K942" s="14"/>
      <c r="M942" s="14"/>
      <c r="N942" s="14"/>
    </row>
    <row r="943">
      <c r="K943" s="14"/>
      <c r="M943" s="14"/>
      <c r="N943" s="14"/>
    </row>
    <row r="944">
      <c r="K944" s="14"/>
      <c r="M944" s="14"/>
      <c r="N944" s="14"/>
    </row>
    <row r="945">
      <c r="K945" s="14"/>
      <c r="M945" s="14"/>
      <c r="N945" s="14"/>
    </row>
    <row r="946">
      <c r="K946" s="14"/>
      <c r="M946" s="14"/>
      <c r="N946" s="14"/>
    </row>
    <row r="947">
      <c r="K947" s="14"/>
      <c r="M947" s="14"/>
      <c r="N947" s="14"/>
    </row>
    <row r="948">
      <c r="K948" s="14"/>
      <c r="M948" s="14"/>
      <c r="N948" s="14"/>
    </row>
    <row r="949">
      <c r="K949" s="14"/>
      <c r="M949" s="14"/>
      <c r="N949" s="14"/>
    </row>
    <row r="950">
      <c r="K950" s="14"/>
      <c r="M950" s="14"/>
      <c r="N950" s="14"/>
    </row>
    <row r="951">
      <c r="K951" s="14"/>
      <c r="M951" s="14"/>
      <c r="N951" s="14"/>
    </row>
    <row r="952">
      <c r="K952" s="14"/>
      <c r="M952" s="14"/>
      <c r="N952" s="14"/>
    </row>
    <row r="953">
      <c r="K953" s="14"/>
      <c r="M953" s="14"/>
      <c r="N953" s="14"/>
    </row>
    <row r="954">
      <c r="K954" s="14"/>
      <c r="M954" s="14"/>
      <c r="N954" s="14"/>
    </row>
    <row r="955">
      <c r="K955" s="14"/>
      <c r="M955" s="14"/>
      <c r="N955" s="14"/>
    </row>
    <row r="956">
      <c r="K956" s="14"/>
      <c r="M956" s="14"/>
      <c r="N956" s="14"/>
    </row>
    <row r="957">
      <c r="K957" s="14"/>
      <c r="M957" s="14"/>
      <c r="N957" s="14"/>
    </row>
    <row r="958">
      <c r="K958" s="14"/>
      <c r="M958" s="14"/>
      <c r="N958" s="14"/>
    </row>
    <row r="959">
      <c r="K959" s="14"/>
      <c r="M959" s="14"/>
      <c r="N959" s="14"/>
    </row>
    <row r="960">
      <c r="K960" s="14"/>
      <c r="M960" s="14"/>
      <c r="N960" s="14"/>
    </row>
    <row r="961">
      <c r="K961" s="14"/>
      <c r="M961" s="14"/>
      <c r="N961" s="14"/>
    </row>
    <row r="962">
      <c r="K962" s="14"/>
      <c r="M962" s="14"/>
      <c r="N962" s="14"/>
    </row>
    <row r="963">
      <c r="K963" s="14"/>
      <c r="M963" s="14"/>
      <c r="N963" s="14"/>
    </row>
    <row r="964">
      <c r="K964" s="14"/>
      <c r="M964" s="14"/>
      <c r="N964" s="14"/>
    </row>
    <row r="965">
      <c r="K965" s="14"/>
      <c r="M965" s="14"/>
      <c r="N965" s="14"/>
    </row>
    <row r="966">
      <c r="K966" s="14"/>
      <c r="M966" s="14"/>
      <c r="N966" s="14"/>
    </row>
    <row r="967">
      <c r="K967" s="14"/>
      <c r="M967" s="14"/>
      <c r="N967" s="14"/>
    </row>
    <row r="968">
      <c r="K968" s="14"/>
      <c r="M968" s="14"/>
      <c r="N968" s="14"/>
    </row>
  </sheetData>
  <customSheetViews>
    <customSheetView guid="{4B233955-0BA4-4565-99D1-AC4F54DA13C0}" filter="1" showAutoFilter="1">
      <autoFilter ref="$A$1:$V$35">
        <sortState ref="A1:V35">
          <sortCondition descending="1" ref="S1:S35"/>
          <sortCondition descending="1" ref="N1:N35"/>
          <sortCondition descending="1" ref="U1:U35"/>
          <sortCondition descending="1" ref="O1:O35"/>
          <sortCondition descending="1" ref="D1:D35"/>
          <sortCondition descending="1" ref="M1:M35"/>
          <sortCondition descending="1" ref="L1:L35"/>
          <sortCondition descending="1" ref="K1:K35"/>
          <sortCondition descending="1" ref="V1:V35"/>
        </sortState>
      </autoFilter>
    </customSheetView>
  </customSheetViews>
  <dataValidations>
    <dataValidation type="list" allowBlank="1" showErrorMessage="1" sqref="A2:A35">
      <formula1>"Jez,Kempy,Nairn,Ben,Bill,Char,Connor,Corin,Crell,Dave,Ewan,Gman,Harry,Jamal,Jan,Jay,Joe,Joel,Jules,Karun,Leo,LG,Luke,Nik,Ram,Steve,Touwa,Will Mac,Will White,OG,Dan,Sean,Sinan,Jacob,Marcus,JPH"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>
        <v>2024.0</v>
      </c>
      <c r="C1" s="1">
        <v>2025.0</v>
      </c>
      <c r="D1" s="1" t="s">
        <v>76</v>
      </c>
      <c r="E1" s="1" t="s">
        <v>77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20</v>
      </c>
      <c r="B2" s="3">
        <v>43.0</v>
      </c>
      <c r="C2" s="3">
        <v>33.0</v>
      </c>
      <c r="D2" s="4">
        <f t="shared" ref="D2:D35" si="1">SUM(B2:C2)</f>
        <v>76</v>
      </c>
      <c r="E2" s="4">
        <f t="shared" ref="E2:E35" si="2">100-D2</f>
        <v>24</v>
      </c>
      <c r="F2" s="3" t="s">
        <v>13</v>
      </c>
      <c r="G2" s="3" t="s">
        <v>92</v>
      </c>
      <c r="H2" s="3" t="s">
        <v>94</v>
      </c>
    </row>
    <row r="3">
      <c r="A3" s="3" t="s">
        <v>16</v>
      </c>
      <c r="B3" s="3">
        <v>40.0</v>
      </c>
      <c r="C3" s="3">
        <v>34.0</v>
      </c>
      <c r="D3" s="4">
        <f t="shared" si="1"/>
        <v>74</v>
      </c>
      <c r="E3" s="4">
        <f t="shared" si="2"/>
        <v>26</v>
      </c>
      <c r="F3" s="3" t="s">
        <v>102</v>
      </c>
    </row>
    <row r="4">
      <c r="A4" s="3" t="s">
        <v>12</v>
      </c>
      <c r="B4" s="3">
        <v>44.0</v>
      </c>
      <c r="C4" s="3">
        <v>28.0</v>
      </c>
      <c r="D4" s="4">
        <f t="shared" si="1"/>
        <v>72</v>
      </c>
      <c r="E4" s="4">
        <f t="shared" si="2"/>
        <v>28</v>
      </c>
      <c r="F4" s="3" t="s">
        <v>13</v>
      </c>
      <c r="G4" s="3" t="s">
        <v>104</v>
      </c>
      <c r="H4" s="3" t="s">
        <v>94</v>
      </c>
    </row>
    <row r="5">
      <c r="A5" s="3" t="s">
        <v>43</v>
      </c>
      <c r="B5" s="3">
        <v>38.0</v>
      </c>
      <c r="C5" s="3">
        <v>31.0</v>
      </c>
      <c r="D5" s="4">
        <f t="shared" si="1"/>
        <v>69</v>
      </c>
      <c r="E5" s="4">
        <f t="shared" si="2"/>
        <v>31</v>
      </c>
      <c r="F5" s="3" t="s">
        <v>102</v>
      </c>
    </row>
    <row r="6">
      <c r="A6" s="3" t="s">
        <v>22</v>
      </c>
      <c r="B6" s="3">
        <v>37.0</v>
      </c>
      <c r="C6" s="3">
        <v>31.0</v>
      </c>
      <c r="D6" s="4">
        <f t="shared" si="1"/>
        <v>68</v>
      </c>
      <c r="E6" s="4">
        <f t="shared" si="2"/>
        <v>32</v>
      </c>
      <c r="F6" s="3" t="s">
        <v>102</v>
      </c>
    </row>
    <row r="7">
      <c r="A7" s="3" t="s">
        <v>27</v>
      </c>
      <c r="B7" s="3">
        <v>34.0</v>
      </c>
      <c r="C7" s="3">
        <v>33.0</v>
      </c>
      <c r="D7" s="4">
        <f t="shared" si="1"/>
        <v>67</v>
      </c>
      <c r="E7" s="4">
        <f t="shared" si="2"/>
        <v>33</v>
      </c>
      <c r="F7" s="3" t="s">
        <v>102</v>
      </c>
    </row>
    <row r="8">
      <c r="A8" s="3" t="s">
        <v>10</v>
      </c>
      <c r="B8" s="3">
        <v>39.0</v>
      </c>
      <c r="C8" s="3">
        <v>28.0</v>
      </c>
      <c r="D8" s="4">
        <f t="shared" si="1"/>
        <v>67</v>
      </c>
      <c r="E8" s="4">
        <f t="shared" si="2"/>
        <v>33</v>
      </c>
      <c r="F8" s="3" t="s">
        <v>13</v>
      </c>
      <c r="G8" s="3" t="s">
        <v>105</v>
      </c>
      <c r="H8" s="3" t="s">
        <v>106</v>
      </c>
    </row>
    <row r="9">
      <c r="A9" s="3" t="s">
        <v>17</v>
      </c>
      <c r="B9" s="3">
        <v>29.0</v>
      </c>
      <c r="C9" s="3">
        <v>38.0</v>
      </c>
      <c r="D9" s="4">
        <f t="shared" si="1"/>
        <v>67</v>
      </c>
      <c r="E9" s="4">
        <f t="shared" si="2"/>
        <v>33</v>
      </c>
      <c r="F9" s="3" t="s">
        <v>13</v>
      </c>
      <c r="G9" s="3" t="s">
        <v>107</v>
      </c>
      <c r="H9" s="3" t="s">
        <v>106</v>
      </c>
    </row>
    <row r="10">
      <c r="A10" s="3" t="s">
        <v>19</v>
      </c>
      <c r="B10" s="3">
        <v>32.0</v>
      </c>
      <c r="C10" s="3">
        <v>34.0</v>
      </c>
      <c r="D10" s="4">
        <f t="shared" si="1"/>
        <v>66</v>
      </c>
      <c r="E10" s="4">
        <f t="shared" si="2"/>
        <v>34</v>
      </c>
      <c r="F10" s="3" t="s">
        <v>102</v>
      </c>
    </row>
    <row r="11">
      <c r="A11" s="3" t="s">
        <v>18</v>
      </c>
      <c r="B11" s="3">
        <v>33.0</v>
      </c>
      <c r="C11" s="3">
        <v>31.0</v>
      </c>
      <c r="D11" s="4">
        <f t="shared" si="1"/>
        <v>64</v>
      </c>
      <c r="E11" s="4">
        <f t="shared" si="2"/>
        <v>36</v>
      </c>
      <c r="F11" s="3" t="s">
        <v>102</v>
      </c>
    </row>
    <row r="12">
      <c r="A12" s="3" t="s">
        <v>11</v>
      </c>
      <c r="B12" s="3">
        <v>28.0</v>
      </c>
      <c r="C12" s="3">
        <v>34.0</v>
      </c>
      <c r="D12" s="4">
        <f t="shared" si="1"/>
        <v>62</v>
      </c>
      <c r="E12" s="4">
        <f t="shared" si="2"/>
        <v>38</v>
      </c>
      <c r="F12" s="3" t="s">
        <v>102</v>
      </c>
    </row>
    <row r="13">
      <c r="A13" s="3" t="s">
        <v>35</v>
      </c>
      <c r="B13" s="3">
        <v>27.0</v>
      </c>
      <c r="C13" s="3">
        <v>26.0</v>
      </c>
      <c r="D13" s="4">
        <f t="shared" si="1"/>
        <v>53</v>
      </c>
      <c r="E13" s="4">
        <f t="shared" si="2"/>
        <v>47</v>
      </c>
      <c r="F13" s="3" t="s">
        <v>102</v>
      </c>
    </row>
    <row r="14">
      <c r="A14" s="3" t="s">
        <v>23</v>
      </c>
      <c r="B14" s="3">
        <v>43.0</v>
      </c>
      <c r="C14" s="3">
        <v>10.0</v>
      </c>
      <c r="D14" s="4">
        <f t="shared" si="1"/>
        <v>53</v>
      </c>
      <c r="E14" s="4">
        <f t="shared" si="2"/>
        <v>47</v>
      </c>
      <c r="F14" s="3" t="s">
        <v>102</v>
      </c>
    </row>
    <row r="15">
      <c r="A15" s="3" t="s">
        <v>56</v>
      </c>
      <c r="B15" s="3">
        <v>15.0</v>
      </c>
      <c r="C15" s="3">
        <v>17.0</v>
      </c>
      <c r="D15" s="4">
        <f t="shared" si="1"/>
        <v>32</v>
      </c>
      <c r="E15" s="4">
        <f t="shared" si="2"/>
        <v>68</v>
      </c>
      <c r="F15" s="3" t="s">
        <v>102</v>
      </c>
    </row>
    <row r="16">
      <c r="A16" s="3" t="s">
        <v>14</v>
      </c>
      <c r="B16" s="3">
        <v>17.0</v>
      </c>
      <c r="C16" s="3">
        <v>10.0</v>
      </c>
      <c r="D16" s="4">
        <f t="shared" si="1"/>
        <v>27</v>
      </c>
      <c r="E16" s="4">
        <f t="shared" si="2"/>
        <v>73</v>
      </c>
      <c r="F16" s="3" t="s">
        <v>102</v>
      </c>
    </row>
    <row r="17">
      <c r="A17" s="3" t="s">
        <v>40</v>
      </c>
      <c r="B17" s="3">
        <v>15.0</v>
      </c>
      <c r="C17" s="3">
        <v>9.0</v>
      </c>
      <c r="D17" s="4">
        <f t="shared" si="1"/>
        <v>24</v>
      </c>
      <c r="E17" s="4">
        <f t="shared" si="2"/>
        <v>76</v>
      </c>
      <c r="F17" s="3" t="s">
        <v>102</v>
      </c>
    </row>
    <row r="18">
      <c r="A18" s="3" t="s">
        <v>24</v>
      </c>
      <c r="B18" s="3">
        <v>10.0</v>
      </c>
      <c r="C18" s="3">
        <v>11.0</v>
      </c>
      <c r="D18" s="4">
        <f t="shared" si="1"/>
        <v>21</v>
      </c>
      <c r="E18" s="4">
        <f t="shared" si="2"/>
        <v>79</v>
      </c>
      <c r="F18" s="3" t="s">
        <v>102</v>
      </c>
    </row>
    <row r="19">
      <c r="A19" s="3" t="s">
        <v>53</v>
      </c>
      <c r="B19" s="3">
        <v>11.0</v>
      </c>
      <c r="C19" s="3">
        <v>6.0</v>
      </c>
      <c r="D19" s="4">
        <f t="shared" si="1"/>
        <v>17</v>
      </c>
      <c r="E19" s="4">
        <f t="shared" si="2"/>
        <v>83</v>
      </c>
      <c r="F19" s="3" t="s">
        <v>102</v>
      </c>
    </row>
    <row r="20">
      <c r="A20" s="3" t="s">
        <v>33</v>
      </c>
      <c r="B20" s="3">
        <v>13.0</v>
      </c>
      <c r="C20" s="3">
        <v>0.0</v>
      </c>
      <c r="D20" s="4">
        <f t="shared" si="1"/>
        <v>13</v>
      </c>
      <c r="E20" s="4">
        <f t="shared" si="2"/>
        <v>87</v>
      </c>
      <c r="F20" s="3" t="s">
        <v>102</v>
      </c>
    </row>
    <row r="21">
      <c r="A21" s="3" t="s">
        <v>48</v>
      </c>
      <c r="B21" s="3">
        <v>11.0</v>
      </c>
      <c r="C21" s="3">
        <v>1.0</v>
      </c>
      <c r="D21" s="4">
        <f t="shared" si="1"/>
        <v>12</v>
      </c>
      <c r="E21" s="4">
        <f t="shared" si="2"/>
        <v>88</v>
      </c>
      <c r="F21" s="3" t="s">
        <v>102</v>
      </c>
    </row>
    <row r="22">
      <c r="A22" s="3" t="s">
        <v>70</v>
      </c>
      <c r="B22" s="3">
        <v>4.0</v>
      </c>
      <c r="C22" s="3">
        <v>7.0</v>
      </c>
      <c r="D22" s="4">
        <f t="shared" si="1"/>
        <v>11</v>
      </c>
      <c r="E22" s="4">
        <f t="shared" si="2"/>
        <v>89</v>
      </c>
      <c r="F22" s="3" t="s">
        <v>102</v>
      </c>
    </row>
    <row r="23">
      <c r="A23" s="3" t="s">
        <v>21</v>
      </c>
      <c r="B23" s="3">
        <v>0.0</v>
      </c>
      <c r="C23" s="3">
        <v>10.0</v>
      </c>
      <c r="D23" s="4">
        <f t="shared" si="1"/>
        <v>10</v>
      </c>
      <c r="E23" s="4">
        <f t="shared" si="2"/>
        <v>90</v>
      </c>
      <c r="F23" s="3" t="s">
        <v>102</v>
      </c>
    </row>
    <row r="24">
      <c r="A24" s="3" t="s">
        <v>25</v>
      </c>
      <c r="B24" s="3">
        <v>1.0</v>
      </c>
      <c r="C24" s="3">
        <v>6.0</v>
      </c>
      <c r="D24" s="4">
        <f t="shared" si="1"/>
        <v>7</v>
      </c>
      <c r="E24" s="4">
        <f t="shared" si="2"/>
        <v>93</v>
      </c>
      <c r="F24" s="3" t="s">
        <v>102</v>
      </c>
    </row>
    <row r="25">
      <c r="A25" s="3" t="s">
        <v>69</v>
      </c>
      <c r="B25" s="3">
        <v>0.0</v>
      </c>
      <c r="C25" s="3">
        <v>6.0</v>
      </c>
      <c r="D25" s="4">
        <f t="shared" si="1"/>
        <v>6</v>
      </c>
      <c r="E25" s="4">
        <f t="shared" si="2"/>
        <v>94</v>
      </c>
      <c r="F25" s="3" t="s">
        <v>102</v>
      </c>
    </row>
    <row r="26">
      <c r="A26" s="3" t="s">
        <v>57</v>
      </c>
      <c r="B26" s="3">
        <v>4.0</v>
      </c>
      <c r="C26" s="3">
        <v>2.0</v>
      </c>
      <c r="D26" s="4">
        <f t="shared" si="1"/>
        <v>6</v>
      </c>
      <c r="E26" s="4">
        <f t="shared" si="2"/>
        <v>94</v>
      </c>
      <c r="F26" s="3" t="s">
        <v>102</v>
      </c>
    </row>
    <row r="27">
      <c r="A27" s="3" t="s">
        <v>73</v>
      </c>
      <c r="B27" s="3">
        <v>0.0</v>
      </c>
      <c r="C27" s="3">
        <v>5.0</v>
      </c>
      <c r="D27" s="4">
        <f t="shared" si="1"/>
        <v>5</v>
      </c>
      <c r="E27" s="4">
        <f t="shared" si="2"/>
        <v>95</v>
      </c>
      <c r="F27" s="3" t="s">
        <v>102</v>
      </c>
    </row>
    <row r="28">
      <c r="A28" s="3" t="s">
        <v>60</v>
      </c>
      <c r="B28" s="3">
        <v>4.0</v>
      </c>
      <c r="C28" s="3">
        <v>0.0</v>
      </c>
      <c r="D28" s="4">
        <f t="shared" si="1"/>
        <v>4</v>
      </c>
      <c r="E28" s="4">
        <f t="shared" si="2"/>
        <v>96</v>
      </c>
      <c r="F28" s="3" t="s">
        <v>102</v>
      </c>
    </row>
    <row r="29">
      <c r="A29" s="3" t="s">
        <v>74</v>
      </c>
      <c r="B29" s="3">
        <v>0.0</v>
      </c>
      <c r="C29" s="3">
        <v>4.0</v>
      </c>
      <c r="D29" s="4">
        <f t="shared" si="1"/>
        <v>4</v>
      </c>
      <c r="E29" s="4">
        <f t="shared" si="2"/>
        <v>96</v>
      </c>
      <c r="F29" s="3" t="s">
        <v>102</v>
      </c>
    </row>
    <row r="30">
      <c r="A30" s="3" t="s">
        <v>38</v>
      </c>
      <c r="B30" s="3">
        <v>0.0</v>
      </c>
      <c r="C30" s="3">
        <v>4.0</v>
      </c>
      <c r="D30" s="4">
        <f t="shared" si="1"/>
        <v>4</v>
      </c>
      <c r="E30" s="4">
        <f t="shared" si="2"/>
        <v>96</v>
      </c>
      <c r="F30" s="3" t="s">
        <v>102</v>
      </c>
    </row>
    <row r="31">
      <c r="A31" s="3" t="s">
        <v>71</v>
      </c>
      <c r="B31" s="3">
        <v>3.0</v>
      </c>
      <c r="C31" s="3">
        <v>0.0</v>
      </c>
      <c r="D31" s="4">
        <f t="shared" si="1"/>
        <v>3</v>
      </c>
      <c r="E31" s="4">
        <f t="shared" si="2"/>
        <v>97</v>
      </c>
      <c r="F31" s="3" t="s">
        <v>102</v>
      </c>
    </row>
    <row r="32">
      <c r="A32" s="3" t="s">
        <v>72</v>
      </c>
      <c r="B32" s="3">
        <v>2.0</v>
      </c>
      <c r="C32" s="3">
        <v>1.0</v>
      </c>
      <c r="D32" s="4">
        <f t="shared" si="1"/>
        <v>3</v>
      </c>
      <c r="E32" s="4">
        <f t="shared" si="2"/>
        <v>97</v>
      </c>
      <c r="F32" s="3" t="s">
        <v>102</v>
      </c>
    </row>
    <row r="33">
      <c r="A33" s="3" t="s">
        <v>75</v>
      </c>
      <c r="B33" s="3">
        <v>0.0</v>
      </c>
      <c r="C33" s="3">
        <v>3.0</v>
      </c>
      <c r="D33" s="4">
        <f t="shared" si="1"/>
        <v>3</v>
      </c>
      <c r="E33" s="4">
        <f t="shared" si="2"/>
        <v>97</v>
      </c>
      <c r="F33" s="3" t="s">
        <v>102</v>
      </c>
    </row>
    <row r="34">
      <c r="A34" s="3" t="s">
        <v>68</v>
      </c>
      <c r="B34" s="3">
        <v>1.0</v>
      </c>
      <c r="C34" s="3">
        <v>1.0</v>
      </c>
      <c r="D34" s="4">
        <f t="shared" si="1"/>
        <v>2</v>
      </c>
      <c r="E34" s="4">
        <f t="shared" si="2"/>
        <v>98</v>
      </c>
      <c r="F34" s="3" t="s">
        <v>102</v>
      </c>
    </row>
    <row r="35">
      <c r="A35" s="3" t="s">
        <v>15</v>
      </c>
      <c r="B35" s="3">
        <v>0.0</v>
      </c>
      <c r="C35" s="3">
        <v>0.0</v>
      </c>
      <c r="D35" s="4">
        <f t="shared" si="1"/>
        <v>0</v>
      </c>
      <c r="E35" s="4">
        <f t="shared" si="2"/>
        <v>100</v>
      </c>
      <c r="F35" s="3" t="s">
        <v>102</v>
      </c>
    </row>
  </sheetData>
  <autoFilter ref="$A$1:$AA$35">
    <sortState ref="A1:AA35">
      <sortCondition ref="E1:E35"/>
    </sortState>
  </autoFilter>
  <dataValidations>
    <dataValidation type="list" allowBlank="1" showErrorMessage="1" sqref="A2:A35">
      <formula1>"Jez,Kempy,Nairn,Ben,Bill,Char,Connor,Corin,Crell,Dave,Ewan,Gman,Harry,Jamal,Jan,Jay,Joe,Joel,Jules,Karun,Leo,LG,Luke,Nik,Ram,Steve,Touwa,Will Mac,Will White,OG,Dan,Sean,Sinan,Jacob,Marcus,JPH"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2.88"/>
    <col customWidth="1" min="4" max="4" width="27.63"/>
    <col customWidth="1" min="5" max="5" width="14.38"/>
    <col customWidth="1" min="6" max="7" width="22.63"/>
    <col customWidth="1" min="8" max="8" width="16.63"/>
  </cols>
  <sheetData>
    <row r="1">
      <c r="A1" s="1"/>
      <c r="B1" s="1" t="s">
        <v>108</v>
      </c>
      <c r="C1" s="1" t="s">
        <v>109</v>
      </c>
      <c r="D1" s="7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2"/>
      <c r="J1" s="2"/>
      <c r="K1" s="1" t="s">
        <v>115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/>
      <c r="B2" s="8" t="s">
        <v>116</v>
      </c>
      <c r="C2" s="3" t="s">
        <v>117</v>
      </c>
      <c r="D2" s="9" t="s">
        <v>118</v>
      </c>
      <c r="E2" s="3" t="s">
        <v>119</v>
      </c>
      <c r="F2" s="10"/>
      <c r="G2" s="10"/>
      <c r="H2" s="3" t="s">
        <v>12</v>
      </c>
      <c r="K2" s="3" t="s">
        <v>120</v>
      </c>
      <c r="L2" s="3" t="s">
        <v>121</v>
      </c>
    </row>
    <row r="3">
      <c r="A3" s="3"/>
      <c r="B3" s="3" t="s">
        <v>122</v>
      </c>
      <c r="C3" s="3" t="s">
        <v>117</v>
      </c>
      <c r="D3" s="9" t="s">
        <v>123</v>
      </c>
      <c r="E3" s="3" t="s">
        <v>124</v>
      </c>
      <c r="F3" s="3"/>
      <c r="G3" s="3" t="s">
        <v>125</v>
      </c>
      <c r="H3" s="3" t="s">
        <v>11</v>
      </c>
      <c r="K3" s="3" t="s">
        <v>126</v>
      </c>
      <c r="L3" s="3" t="s">
        <v>127</v>
      </c>
    </row>
    <row r="4">
      <c r="A4" s="3"/>
      <c r="B4" s="3" t="s">
        <v>128</v>
      </c>
      <c r="C4" s="3" t="s">
        <v>117</v>
      </c>
      <c r="D4" s="9" t="s">
        <v>129</v>
      </c>
      <c r="E4" s="3" t="s">
        <v>130</v>
      </c>
      <c r="F4" s="3"/>
      <c r="G4" s="3" t="s">
        <v>131</v>
      </c>
      <c r="H4" s="3" t="s">
        <v>22</v>
      </c>
    </row>
    <row r="5">
      <c r="A5" s="3"/>
      <c r="B5" s="3" t="s">
        <v>132</v>
      </c>
      <c r="C5" s="3" t="s">
        <v>117</v>
      </c>
      <c r="D5" s="9" t="s">
        <v>133</v>
      </c>
      <c r="E5" s="3"/>
      <c r="F5" s="3"/>
      <c r="G5" s="11"/>
      <c r="H5" s="11"/>
    </row>
    <row r="6">
      <c r="A6" s="3"/>
      <c r="B6" s="3" t="s">
        <v>134</v>
      </c>
      <c r="C6" s="3" t="s">
        <v>117</v>
      </c>
      <c r="D6" s="9" t="s">
        <v>135</v>
      </c>
      <c r="E6" s="3"/>
      <c r="F6" s="3"/>
      <c r="G6" s="11"/>
      <c r="H6" s="11"/>
    </row>
    <row r="7">
      <c r="A7" s="3"/>
      <c r="B7" s="3" t="s">
        <v>136</v>
      </c>
      <c r="C7" s="3" t="s">
        <v>117</v>
      </c>
      <c r="D7" s="9" t="s">
        <v>137</v>
      </c>
      <c r="E7" s="3"/>
      <c r="F7" s="3"/>
      <c r="G7" s="11"/>
      <c r="H7" s="11"/>
    </row>
    <row r="8">
      <c r="A8" s="3"/>
      <c r="B8" s="3" t="s">
        <v>138</v>
      </c>
      <c r="C8" s="3" t="s">
        <v>117</v>
      </c>
      <c r="D8" s="9" t="s">
        <v>139</v>
      </c>
      <c r="E8" s="3"/>
      <c r="F8" s="3"/>
      <c r="G8" s="11"/>
      <c r="H8" s="11"/>
    </row>
    <row r="9">
      <c r="A9" s="3"/>
      <c r="B9" s="3" t="s">
        <v>140</v>
      </c>
      <c r="C9" s="3" t="s">
        <v>117</v>
      </c>
      <c r="D9" s="9" t="s">
        <v>141</v>
      </c>
      <c r="E9" s="3"/>
      <c r="F9" s="3"/>
      <c r="G9" s="11"/>
      <c r="H9" s="11"/>
    </row>
    <row r="10">
      <c r="A10" s="3"/>
      <c r="B10" s="3" t="s">
        <v>142</v>
      </c>
      <c r="C10" s="3" t="s">
        <v>117</v>
      </c>
      <c r="D10" s="9" t="s">
        <v>143</v>
      </c>
      <c r="E10" s="3" t="s">
        <v>124</v>
      </c>
      <c r="F10" s="3"/>
      <c r="G10" s="3" t="s">
        <v>144</v>
      </c>
      <c r="H10" s="3" t="s">
        <v>33</v>
      </c>
    </row>
    <row r="11">
      <c r="A11" s="3"/>
      <c r="B11" s="3" t="s">
        <v>145</v>
      </c>
      <c r="C11" s="3" t="s">
        <v>117</v>
      </c>
      <c r="D11" s="9" t="s">
        <v>146</v>
      </c>
      <c r="E11" s="3" t="s">
        <v>147</v>
      </c>
      <c r="F11" s="3"/>
      <c r="G11" s="3" t="s">
        <v>148</v>
      </c>
      <c r="H11" s="3" t="s">
        <v>149</v>
      </c>
    </row>
    <row r="12">
      <c r="A12" s="3"/>
      <c r="B12" s="3" t="s">
        <v>150</v>
      </c>
      <c r="C12" s="3" t="s">
        <v>117</v>
      </c>
      <c r="D12" s="9" t="s">
        <v>151</v>
      </c>
      <c r="E12" s="3" t="s">
        <v>152</v>
      </c>
      <c r="F12" s="3"/>
      <c r="G12" s="3" t="s">
        <v>153</v>
      </c>
      <c r="H12" s="3" t="s">
        <v>154</v>
      </c>
    </row>
    <row r="13">
      <c r="A13" s="3"/>
      <c r="B13" s="3" t="s">
        <v>155</v>
      </c>
      <c r="C13" s="3" t="s">
        <v>117</v>
      </c>
      <c r="D13" s="9" t="s">
        <v>101</v>
      </c>
      <c r="E13" s="3" t="s">
        <v>119</v>
      </c>
      <c r="F13" s="3"/>
      <c r="G13" s="3" t="s">
        <v>156</v>
      </c>
      <c r="H13" s="3" t="s">
        <v>18</v>
      </c>
    </row>
    <row r="14">
      <c r="A14" s="3"/>
      <c r="B14" s="3" t="s">
        <v>157</v>
      </c>
      <c r="C14" s="3" t="s">
        <v>117</v>
      </c>
      <c r="D14" s="9" t="s">
        <v>158</v>
      </c>
      <c r="E14" s="3" t="s">
        <v>159</v>
      </c>
      <c r="F14" s="3"/>
      <c r="G14" s="3" t="s">
        <v>10</v>
      </c>
      <c r="H14" s="3" t="s">
        <v>10</v>
      </c>
    </row>
    <row r="15" ht="15.0" customHeight="1">
      <c r="A15" s="3"/>
      <c r="B15" s="8" t="s">
        <v>160</v>
      </c>
      <c r="C15" s="3" t="s">
        <v>117</v>
      </c>
      <c r="D15" s="9" t="s">
        <v>161</v>
      </c>
      <c r="E15" s="3" t="s">
        <v>119</v>
      </c>
      <c r="F15" s="10"/>
      <c r="G15" s="10"/>
      <c r="H15" s="3" t="s">
        <v>27</v>
      </c>
    </row>
    <row r="16">
      <c r="A16" s="3"/>
      <c r="B16" s="3" t="s">
        <v>162</v>
      </c>
      <c r="C16" s="3" t="s">
        <v>117</v>
      </c>
      <c r="D16" s="9" t="s">
        <v>163</v>
      </c>
      <c r="E16" s="3" t="s">
        <v>164</v>
      </c>
      <c r="F16" s="9"/>
      <c r="G16" s="9" t="s">
        <v>165</v>
      </c>
      <c r="H16" s="3" t="s">
        <v>166</v>
      </c>
    </row>
    <row r="17">
      <c r="B17" s="8" t="s">
        <v>167</v>
      </c>
      <c r="D17" s="12"/>
      <c r="F17" s="11"/>
      <c r="G17" s="3" t="s">
        <v>10</v>
      </c>
      <c r="H17" s="11" t="s">
        <v>168</v>
      </c>
    </row>
    <row r="18">
      <c r="B18" s="8" t="s">
        <v>169</v>
      </c>
      <c r="D18" s="12"/>
      <c r="F18" s="11"/>
      <c r="G18" s="3" t="s">
        <v>35</v>
      </c>
      <c r="H18" s="11" t="s">
        <v>168</v>
      </c>
    </row>
    <row r="19">
      <c r="A19" s="3"/>
      <c r="B19" s="3"/>
      <c r="C19" s="3"/>
      <c r="D19" s="9"/>
      <c r="E19" s="3"/>
      <c r="H19" s="3"/>
    </row>
    <row r="20">
      <c r="B20" s="3" t="s">
        <v>170</v>
      </c>
      <c r="C20" s="3" t="s">
        <v>171</v>
      </c>
      <c r="D20" s="9" t="s">
        <v>172</v>
      </c>
      <c r="E20" s="3" t="s">
        <v>124</v>
      </c>
      <c r="F20" s="3"/>
      <c r="G20" s="3" t="s">
        <v>16</v>
      </c>
      <c r="H20" s="3" t="s">
        <v>16</v>
      </c>
    </row>
    <row r="21">
      <c r="B21" s="8" t="s">
        <v>173</v>
      </c>
      <c r="C21" s="3" t="s">
        <v>171</v>
      </c>
      <c r="D21" s="9" t="s">
        <v>172</v>
      </c>
      <c r="E21" s="3" t="s">
        <v>119</v>
      </c>
      <c r="F21" s="10"/>
      <c r="G21" s="10"/>
      <c r="H21" s="3" t="s">
        <v>43</v>
      </c>
    </row>
    <row r="22">
      <c r="A22" s="13"/>
      <c r="B22" s="8" t="s">
        <v>174</v>
      </c>
      <c r="C22" s="3" t="s">
        <v>171</v>
      </c>
      <c r="D22" s="9" t="s">
        <v>172</v>
      </c>
      <c r="E22" s="3" t="s">
        <v>119</v>
      </c>
      <c r="F22" s="3"/>
      <c r="G22" s="3" t="s">
        <v>53</v>
      </c>
      <c r="H22" s="3" t="s">
        <v>53</v>
      </c>
    </row>
    <row r="23">
      <c r="B23" s="3" t="s">
        <v>175</v>
      </c>
      <c r="C23" s="3" t="s">
        <v>171</v>
      </c>
      <c r="D23" s="9" t="s">
        <v>172</v>
      </c>
      <c r="E23" s="3" t="s">
        <v>119</v>
      </c>
      <c r="F23" s="3"/>
      <c r="G23" s="3" t="s">
        <v>35</v>
      </c>
      <c r="H23" s="3" t="s">
        <v>22</v>
      </c>
    </row>
    <row r="24">
      <c r="B24" s="3" t="s">
        <v>176</v>
      </c>
      <c r="C24" s="3" t="s">
        <v>171</v>
      </c>
      <c r="D24" s="9" t="s">
        <v>177</v>
      </c>
      <c r="E24" s="3" t="s">
        <v>119</v>
      </c>
      <c r="F24" s="3"/>
      <c r="G24" s="3" t="s">
        <v>19</v>
      </c>
      <c r="H24" s="3" t="s">
        <v>19</v>
      </c>
    </row>
    <row r="25">
      <c r="B25" s="8" t="s">
        <v>132</v>
      </c>
      <c r="C25" s="3" t="s">
        <v>171</v>
      </c>
      <c r="D25" s="9"/>
      <c r="E25" s="3" t="s">
        <v>119</v>
      </c>
      <c r="F25" s="10"/>
      <c r="G25" s="10"/>
      <c r="H25" s="3" t="s">
        <v>20</v>
      </c>
    </row>
    <row r="26">
      <c r="B26" s="3" t="s">
        <v>178</v>
      </c>
      <c r="C26" s="3" t="s">
        <v>171</v>
      </c>
      <c r="D26" s="9" t="s">
        <v>179</v>
      </c>
      <c r="E26" s="3" t="s">
        <v>124</v>
      </c>
      <c r="F26" s="3"/>
      <c r="G26" s="3" t="s">
        <v>16</v>
      </c>
      <c r="H26" s="3" t="s">
        <v>23</v>
      </c>
    </row>
    <row r="27">
      <c r="B27" s="3" t="s">
        <v>180</v>
      </c>
      <c r="C27" s="3" t="s">
        <v>171</v>
      </c>
      <c r="D27" s="9" t="s">
        <v>181</v>
      </c>
      <c r="E27" s="3" t="s">
        <v>182</v>
      </c>
      <c r="F27" s="3"/>
      <c r="G27" s="3" t="s">
        <v>11</v>
      </c>
      <c r="H27" s="3" t="s">
        <v>11</v>
      </c>
    </row>
    <row r="28">
      <c r="B28" s="3" t="s">
        <v>183</v>
      </c>
      <c r="C28" s="3" t="s">
        <v>171</v>
      </c>
      <c r="D28" s="9" t="s">
        <v>184</v>
      </c>
      <c r="E28" s="3" t="s">
        <v>124</v>
      </c>
      <c r="F28" s="3"/>
      <c r="G28" s="3" t="s">
        <v>20</v>
      </c>
      <c r="H28" s="3" t="s">
        <v>20</v>
      </c>
    </row>
    <row r="29">
      <c r="B29" s="3" t="s">
        <v>185</v>
      </c>
      <c r="C29" s="3" t="s">
        <v>171</v>
      </c>
      <c r="D29" s="9" t="s">
        <v>186</v>
      </c>
      <c r="E29" s="3" t="s">
        <v>119</v>
      </c>
      <c r="F29" s="3"/>
      <c r="G29" s="3" t="s">
        <v>18</v>
      </c>
      <c r="H29" s="3" t="s">
        <v>18</v>
      </c>
    </row>
    <row r="30">
      <c r="B30" s="3" t="s">
        <v>187</v>
      </c>
      <c r="C30" s="3" t="s">
        <v>171</v>
      </c>
      <c r="D30" s="9" t="s">
        <v>172</v>
      </c>
      <c r="E30" s="3" t="s">
        <v>119</v>
      </c>
      <c r="F30" s="3"/>
      <c r="G30" s="3" t="s">
        <v>17</v>
      </c>
      <c r="H30" s="3" t="s">
        <v>12</v>
      </c>
    </row>
    <row r="31">
      <c r="B31" s="3" t="s">
        <v>188</v>
      </c>
      <c r="C31" s="3" t="s">
        <v>171</v>
      </c>
      <c r="D31" s="9" t="s">
        <v>189</v>
      </c>
      <c r="E31" s="3" t="s">
        <v>119</v>
      </c>
      <c r="F31" s="3"/>
      <c r="G31" s="3" t="s">
        <v>27</v>
      </c>
      <c r="H31" s="3" t="s">
        <v>11</v>
      </c>
    </row>
    <row r="32">
      <c r="B32" s="3" t="s">
        <v>190</v>
      </c>
      <c r="C32" s="3" t="s">
        <v>171</v>
      </c>
      <c r="D32" s="9" t="s">
        <v>191</v>
      </c>
      <c r="E32" s="3" t="s">
        <v>192</v>
      </c>
      <c r="F32" s="3"/>
      <c r="G32" s="3" t="s">
        <v>43</v>
      </c>
      <c r="H32" s="3" t="s">
        <v>10</v>
      </c>
    </row>
    <row r="33">
      <c r="B33" s="8" t="s">
        <v>193</v>
      </c>
      <c r="C33" s="3" t="s">
        <v>171</v>
      </c>
      <c r="D33" s="9" t="s">
        <v>172</v>
      </c>
      <c r="E33" s="3" t="s">
        <v>119</v>
      </c>
      <c r="F33" s="10"/>
      <c r="G33" s="10"/>
      <c r="H33" s="3" t="s">
        <v>48</v>
      </c>
    </row>
    <row r="34">
      <c r="B34" s="3" t="s">
        <v>194</v>
      </c>
      <c r="C34" s="3" t="s">
        <v>171</v>
      </c>
      <c r="D34" s="9" t="s">
        <v>172</v>
      </c>
      <c r="E34" s="3" t="s">
        <v>119</v>
      </c>
      <c r="F34" s="3"/>
      <c r="G34" s="3" t="s">
        <v>10</v>
      </c>
      <c r="H34" s="3" t="s">
        <v>23</v>
      </c>
    </row>
    <row r="35">
      <c r="B35" s="3" t="s">
        <v>195</v>
      </c>
      <c r="C35" s="3" t="s">
        <v>171</v>
      </c>
      <c r="D35" s="9" t="s">
        <v>196</v>
      </c>
      <c r="E35" s="3" t="s">
        <v>119</v>
      </c>
      <c r="F35" s="3"/>
      <c r="G35" s="3" t="s">
        <v>18</v>
      </c>
      <c r="H35" s="11" t="s">
        <v>168</v>
      </c>
    </row>
    <row r="36">
      <c r="A36" s="3"/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  <row r="1001">
      <c r="D1001" s="12"/>
    </row>
    <row r="1002">
      <c r="D1002" s="12"/>
    </row>
    <row r="1003">
      <c r="D1003" s="12"/>
    </row>
    <row r="1004">
      <c r="D1004" s="12"/>
    </row>
    <row r="1005">
      <c r="D1005" s="12"/>
    </row>
    <row r="1006">
      <c r="D1006" s="12"/>
    </row>
    <row r="1007">
      <c r="D1007" s="12"/>
    </row>
    <row r="1008">
      <c r="D1008" s="12"/>
    </row>
    <row r="1009">
      <c r="D1009" s="12"/>
    </row>
  </sheetData>
  <drawing r:id="rId1"/>
</worksheet>
</file>